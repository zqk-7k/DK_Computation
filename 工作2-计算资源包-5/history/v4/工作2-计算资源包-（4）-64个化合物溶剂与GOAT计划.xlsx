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3bb49d169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个产物" sheetId="1" r:id="R6e0f4b8262184a3e"/>
    <x:sheet xmlns:r="http://schemas.openxmlformats.org/officeDocument/2006/relationships" name="67个结构与TMS" sheetId="2" r:id="Rf0700e58737c44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3040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  <x:font>
      <x:sz val="11"/>
      <x:color rgb="FF1D5780"/>
      <x:name val="Arial"/>
    </x:font>
    <x:font>
      <x:b/>
      <x:sz val="11"/>
      <x:color rgb="FF20304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F55"/>
      </x:patternFill>
    </x:fill>
    <x:fill>
      <x:patternFill patternType="solid">
        <x:fgColor rgb="FFEAF0F4"/>
      </x:patternFill>
    </x:fill>
    <x:fill>
      <x:patternFill patternType="solid">
        <x:fgColor rgb="FFF4F7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 wrapText="1"/>
    </x:xf>
    <x:xf numFmtId="0" fontId="5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a5401c1d948ca" /><Relationship Type="http://schemas.openxmlformats.org/officeDocument/2006/relationships/theme" Target="/xl/theme/theme1.xml" Id="R19b66e71831c472a" /><Relationship Type="http://schemas.openxmlformats.org/officeDocument/2006/relationships/sharedStrings" Target="/xl/sharedStrings.xml" Id="R6467e234e9a24391" /><Relationship Type="http://schemas.openxmlformats.org/officeDocument/2006/relationships/worksheet" Target="/xl/worksheets/sheet1.xml" Id="R6e0f4b8262184a3e" /><Relationship Type="http://schemas.openxmlformats.org/officeDocument/2006/relationships/worksheet" Target="/xl/worksheets/sheet2.xml" Id="Rf0700e58737c4456" /></Relationships>
</file>

<file path=xl/tables/table1.xml><?xml version="1.0" encoding="utf-8"?>
<x:table xmlns:x="http://schemas.openxmlformats.org/spreadsheetml/2006/main" id="1" name="Products" displayName="Products" ref="A7:L71" headerRowCount="1" totalsRowCount="0" totalsRowShown="0">
  <x:tableColumns count="12">
    <x:tableColumn id="1" name="产物编号"/>
    <x:tableColumn id="2" name="产物名称"/>
    <x:tableColumn id="3" name="NMR溶剂"/>
    <x:tableColumn id="4" name="显式DMSO-d₆ / 个"/>
    <x:tableColumn id="5" name="显式H₂O / 个"/>
    <x:tableColumn id="6" name="结构分支 / 个"/>
    <x:tableColumn id="7" name="GOAT起点 / 每分支"/>
    <x:tableColumn id="8" name="GOAT起点 / 合计"/>
    <x:tableColumn id="9" name="独立构象建议 / 每分支"/>
    <x:tableColumn id="10" name="J耦合方法"/>
    <x:tableColumn id="11" name="实际计算状态"/>
    <x:tableColumn id="12" name="结构、取样及复核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ucturalModels" displayName="StructuralModels" ref="A7:J74" headerRowCount="1" totalsRowCount="0" totalsRowShown="0">
  <x:tableColumns count="10">
    <x:tableColumn id="1" name="结构ID"/>
    <x:tableColumn id="2" name="产物编号"/>
    <x:tableColumn id="3" name="DMSO-d₆ / 个"/>
    <x:tableColumn id="4" name="H₂O / 个"/>
    <x:tableColumn id="5" name="GOAT独立起点 / 个"/>
    <x:tableColumn id="6" name="独立构象建议范围"/>
    <x:tableColumn id="7" name="J耦合方法"/>
    <x:tableColumn id="8" name="模型净电荷"/>
    <x:tableColumn id="9" name="结构分支类型"/>
    <x:tableColumn id="10" name="采样依据 / 复核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de4a60bc7944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f13e9110ff419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13" hidden="0" customWidth="1"/>
    <x:col min="8" max="8" width="13" hidden="0" customWidth="1"/>
    <x:col min="9" max="9" width="17" hidden="0" customWidth="1"/>
    <x:col min="10" max="10" width="22" hidden="0" customWidth="1"/>
    <x:col min="11" max="11" width="13" hidden="0" customWidth="1"/>
    <x:col min="12" max="12" width="68" hidden="0" customWidth="1"/>
  </x:cols>
  <x:sheetData>
    <x:row r="1" ht="46" customHeight="1">
      <x:c r="A1" s="5" t="str">
        <x:v>工作2-计算资源包-（4）｜64个产物：溶剂与GOAT采样计划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7" customHeight="1">
      <x:c r="A2" s="6" t="str">
        <x:v>64个产物 / 66个结构分支 / 1,012个产物起点；TMS另8个；默认¹H 1 Hz、¹³C 2 Hz，collect --linewidth-h / --linewidth-c可改线宽。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7" customHeight="1">
      <x:c r="A3" s="6" t="str">
        <x:v>统一主模型：2 DMSO-d₆ + 1 H₂O；GOAT外围 ALPB(DMSO)，DFT外围 CPCM(DMSO)；298.15 K（待实验确认）。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7" customHeight="1">
      <x:c r="A4" s="6" t="str">
        <x:v>起点数是首轮独立GOAT任务数，不是最终构象数。每次GOAT可产生多个构象；独立构象建议范围不是配额、上限或收敛证明。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7" customHeight="1">
      <x:c r="A5" s="6" t="str">
        <x:v>来源：registry/sampling_plan_v4.json（执行计划）；本表为审核副本。水含量、结构/立体化学与实验条件仍须核实；本次未运行QM。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1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46" customHeight="1">
      <x:c r="A7" s="7" t="str">
        <x:v>产物编号</x:v>
      </x:c>
      <x:c r="B7" s="7" t="str">
        <x:v>产物名称</x:v>
      </x:c>
      <x:c r="C7" s="7" t="str">
        <x:v>NMR溶剂</x:v>
      </x:c>
      <x:c r="D7" s="7" t="str">
        <x:v>显式DMSO-d₆ / 个</x:v>
      </x:c>
      <x:c r="E7" s="7" t="str">
        <x:v>显式H₂O / 个</x:v>
      </x:c>
      <x:c r="F7" s="7" t="str">
        <x:v>结构分支 / 个</x:v>
      </x:c>
      <x:c r="G7" s="7" t="str">
        <x:v>GOAT起点 / 每分支</x:v>
      </x:c>
      <x:c r="H7" s="7" t="str">
        <x:v>GOAT起点 / 合计</x:v>
      </x:c>
      <x:c r="I7" s="7" t="str">
        <x:v>独立构象建议 / 每分支</x:v>
      </x:c>
      <x:c r="J7" s="7" t="str">
        <x:v>J耦合方法</x:v>
      </x:c>
      <x:c r="K7" s="7" t="str">
        <x:v>实际计算状态</x:v>
      </x:c>
      <x:c r="L7" s="7" t="str">
        <x:v>结构、取样及复核说明</x:v>
      </x:c>
    </x:row>
    <x:row r="8" ht="76" customHeight="1">
      <x:c r="A8" s="14" t="str">
        <x:v>F2_E01</x:v>
      </x:c>
      <x:c r="B8" s="14" t="str">
        <x:v>Styrene oxide</x:v>
      </x:c>
      <x:c r="C8" s="15" t="str">
        <x:v>DMSO-d6</x:v>
      </x:c>
      <x:c r="D8" s="16" t="n">
        <x:v>2</x:v>
      </x:c>
      <x:c r="E8" s="16" t="n">
        <x:v>1</x:v>
      </x:c>
      <x:c r="F8" s="16" t="n">
        <x:v>1</x:v>
      </x:c>
      <x:c r="G8" s="16" t="n">
        <x:v>8</x:v>
      </x:c>
      <x:c r="H8" s="17" t="n">
        <x:f>F8*G8</x:f>
        <x:v>8</x:v>
      </x:c>
      <x:c r="I8" s="18" t="str">
        <x:v>12–30</x:v>
      </x:c>
      <x:c r="J8" s="14" t="str">
        <x:v>PBE/pcJ-3 或 PBE0/pcJ-2；待基准</x:v>
      </x:c>
      <x:c r="K8" s="14" t="str">
        <x:v>未运行</x:v>
      </x:c>
      <x:c r="L8" s="14" t="str">
        <x:v>苯乙烯环氧化物较刚性；采样重点为环氧氧周围不同溶剂取向。 建议另做溶剂敏感性对照（本轮未启用）。</x:v>
      </x:c>
    </x:row>
    <x:row r="9" ht="76" customHeight="1">
      <x:c r="A9" s="3" t="str">
        <x:v>F2_E03</x:v>
      </x:c>
      <x:c r="B9" s="3" t="str">
        <x:v>4-Chlorostyrene oxide</x:v>
      </x:c>
      <x:c r="C9" s="12" t="str">
        <x:v>DMSO-d6</x:v>
      </x:c>
      <x:c r="D9" s="13" t="n">
        <x:v>2</x:v>
      </x:c>
      <x:c r="E9" s="13" t="n">
        <x:v>1</x:v>
      </x:c>
      <x:c r="F9" s="13" t="n">
        <x:v>1</x:v>
      </x:c>
      <x:c r="G9" s="13" t="n">
        <x:v>8</x:v>
      </x:c>
      <x:c r="H9" s="9" t="n">
        <x:f>F9*G9</x:f>
        <x:v>8</x:v>
      </x:c>
      <x:c r="I9" s="11" t="str">
        <x:v>12–30</x:v>
      </x:c>
      <x:c r="J9" s="3" t="str">
        <x:v>PBE/pcJ-3 或 PBE0/pcJ-2；待基准</x:v>
      </x:c>
      <x:c r="K9" s="3" t="str">
        <x:v>未运行</x:v>
      </x:c>
      <x:c r="L9" s="3" t="str">
        <x:v>对氯取代不增加主骨架自由度；保留环氧端与芳环面的溶剂起点。</x:v>
      </x:c>
    </x:row>
    <x:row r="10" ht="76" customHeight="1">
      <x:c r="A10" s="14" t="str">
        <x:v>F2_E05</x:v>
      </x:c>
      <x:c r="B10" s="14" t="str">
        <x:v>4-Cyanostyrene oxide</x:v>
      </x:c>
      <x:c r="C10" s="15" t="str">
        <x:v>DMSO-d6</x:v>
      </x:c>
      <x:c r="D10" s="16" t="n">
        <x:v>2</x:v>
      </x:c>
      <x:c r="E10" s="16" t="n">
        <x:v>1</x:v>
      </x:c>
      <x:c r="F10" s="16" t="n">
        <x:v>1</x:v>
      </x:c>
      <x:c r="G10" s="16" t="n">
        <x:v>12</x:v>
      </x:c>
      <x:c r="H10" s="17" t="n">
        <x:f>F10*G10</x:f>
        <x:v>12</x:v>
      </x:c>
      <x:c r="I10" s="18" t="str">
        <x:v>20–50</x:v>
      </x:c>
      <x:c r="J10" s="14" t="str">
        <x:v>PBE/pcJ-3 或 PBE0/pcJ-2；待基准</x:v>
      </x:c>
      <x:c r="K10" s="14" t="str">
        <x:v>未运行</x:v>
      </x:c>
      <x:c r="L10" s="14" t="str">
        <x:v>腈基和环氧氧提供不同水结合位置，较单一环氧化物增加起点。</x:v>
      </x:c>
    </x:row>
    <x:row r="11" ht="76" customHeight="1">
      <x:c r="A11" s="3" t="str">
        <x:v>F2_E09</x:v>
      </x:c>
      <x:c r="B11" s="3" t="str">
        <x:v>1,2-Epoxyoctane</x:v>
      </x:c>
      <x:c r="C11" s="12" t="str">
        <x:v>DMSO-d6</x:v>
      </x:c>
      <x:c r="D11" s="13" t="n">
        <x:v>2</x:v>
      </x:c>
      <x:c r="E11" s="13" t="n">
        <x:v>1</x:v>
      </x:c>
      <x:c r="F11" s="13" t="n">
        <x:v>1</x:v>
      </x:c>
      <x:c r="G11" s="13" t="n">
        <x:v>16</x:v>
      </x:c>
      <x:c r="H11" s="9" t="n">
        <x:f>F11*G11</x:f>
        <x:v>16</x:v>
      </x:c>
      <x:c r="I11" s="11" t="str">
        <x:v>30–70</x:v>
      </x:c>
      <x:c r="J11" s="3" t="str">
        <x:v>PBE/pcJ-3 或 PBE0/pcJ-2；待基准</x:v>
      </x:c>
      <x:c r="K11" s="3" t="str">
        <x:v>未运行</x:v>
      </x:c>
      <x:c r="L11" s="3" t="str">
        <x:v>正己基链有5个可旋转键；需要链构象与环氧端溶剂布置的交叉采样。</x:v>
      </x:c>
    </x:row>
    <x:row r="12" ht="76" customHeight="1">
      <x:c r="A12" s="14" t="str">
        <x:v>F2_E11</x:v>
      </x:c>
      <x:c r="B12" s="14" t="str">
        <x:v>Norbornene oxide</x:v>
      </x:c>
      <x:c r="C12" s="15" t="str">
        <x:v>DMSO-d6</x:v>
      </x:c>
      <x:c r="D12" s="16" t="n">
        <x:v>2</x:v>
      </x:c>
      <x:c r="E12" s="16" t="n">
        <x:v>1</x:v>
      </x:c>
      <x:c r="F12" s="16" t="n">
        <x:v>2</x:v>
      </x:c>
      <x:c r="G12" s="16" t="n">
        <x:v>8</x:v>
      </x:c>
      <x:c r="H12" s="17" t="n">
        <x:f>F12*G12</x:f>
        <x:v>16</x:v>
      </x:c>
      <x:c r="I12" s="18" t="str">
        <x:v>12–30</x:v>
      </x:c>
      <x:c r="J12" s="14" t="str">
        <x:v>PBE/pcJ-3 或 PBE0/pcJ-2；待基准</x:v>
      </x:c>
      <x:c r="K12" s="14" t="str">
        <x:v>未运行</x:v>
      </x:c>
      <x:c r="L12" s="14" t="str">
        <x:v>桥环骨架较刚性；endo/exo分别各8个起点，不互相混合。</x:v>
      </x:c>
    </x:row>
    <x:row r="13" ht="76" customHeight="1">
      <x:c r="A13" s="3" t="str">
        <x:v>F2_E13</x:v>
      </x:c>
      <x:c r="B13" s="3" t="str">
        <x:v>Cyclooctene oxide</x:v>
      </x:c>
      <x:c r="C13" s="12" t="str">
        <x:v>DMSO-d6</x:v>
      </x:c>
      <x:c r="D13" s="13" t="n">
        <x:v>2</x:v>
      </x:c>
      <x:c r="E13" s="13" t="n">
        <x:v>1</x:v>
      </x:c>
      <x:c r="F13" s="13" t="n">
        <x:v>1</x:v>
      </x:c>
      <x:c r="G13" s="13" t="n">
        <x:v>16</x:v>
      </x:c>
      <x:c r="H13" s="9" t="n">
        <x:f>F13*G13</x:f>
        <x:v>16</x:v>
      </x:c>
      <x:c r="I13" s="11" t="str">
        <x:v>30–70</x:v>
      </x:c>
      <x:c r="J13" s="3" t="str">
        <x:v>PBE/pcJ-3 或 PBE0/pcJ-2；待基准</x:v>
      </x:c>
      <x:c r="K13" s="3" t="str">
        <x:v>未运行</x:v>
      </x:c>
      <x:c r="L13" s="3" t="str">
        <x:v>八元环有明显环构象自由度；不能因RDKit可旋转键为0而少采样。</x:v>
      </x:c>
    </x:row>
    <x:row r="14" ht="76" customHeight="1">
      <x:c r="A14" s="14" t="str">
        <x:v>F2_E12</x:v>
      </x:c>
      <x:c r="B14" s="14" t="str">
        <x:v>Glycidol</x:v>
      </x:c>
      <x:c r="C14" s="15" t="str">
        <x:v>DMSO-d6</x:v>
      </x:c>
      <x:c r="D14" s="16" t="n">
        <x:v>2</x:v>
      </x:c>
      <x:c r="E14" s="16" t="n">
        <x:v>1</x:v>
      </x:c>
      <x:c r="F14" s="16" t="n">
        <x:v>1</x:v>
      </x:c>
      <x:c r="G14" s="16" t="n">
        <x:v>12</x:v>
      </x:c>
      <x:c r="H14" s="17" t="n">
        <x:f>F14*G14</x:f>
        <x:v>12</x:v>
      </x:c>
      <x:c r="I14" s="18" t="str">
        <x:v>20–50</x:v>
      </x:c>
      <x:c r="J14" s="14" t="str">
        <x:v>PBE/pcJ-3 或 PBE0/pcJ-2；待基准</x:v>
      </x:c>
      <x:c r="K14" s="14" t="str">
        <x:v>未运行</x:v>
      </x:c>
      <x:c r="L14" s="14" t="str">
        <x:v>羟基和环氧氧存在竞争氢键及水桥；增加局部溶剂布局。 建议另做溶剂敏感性对照（本轮未启用）。</x:v>
      </x:c>
    </x:row>
    <x:row r="15" ht="76" customHeight="1">
      <x:c r="A15" s="3" t="str">
        <x:v>F2_E14</x:v>
      </x:c>
      <x:c r="B15" s="3" t="str">
        <x:v>((2S,3R)-3-Propyloxiran-2-yl)methanol</x:v>
      </x:c>
      <x:c r="C15" s="12" t="str">
        <x:v>DMSO-d6</x:v>
      </x:c>
      <x:c r="D15" s="13" t="n">
        <x:v>2</x:v>
      </x:c>
      <x:c r="E15" s="13" t="n">
        <x:v>1</x:v>
      </x:c>
      <x:c r="F15" s="13" t="n">
        <x:v>1</x:v>
      </x:c>
      <x:c r="G15" s="13" t="n">
        <x:v>16</x:v>
      </x:c>
      <x:c r="H15" s="9" t="n">
        <x:f>F15*G15</x:f>
        <x:v>16</x:v>
      </x:c>
      <x:c r="I15" s="11" t="str">
        <x:v>30–70</x:v>
      </x:c>
      <x:c r="J15" s="3" t="str">
        <x:v>PBE/pcJ-3 或 PBE0/pcJ-2；待基准</x:v>
      </x:c>
      <x:c r="K15" s="3" t="str">
        <x:v>未运行</x:v>
      </x:c>
      <x:c r="L15" s="3" t="str">
        <x:v>丙基侧链、羟甲基和双氧受体形成多个构象/氢键组合。</x:v>
      </x:c>
    </x:row>
    <x:row r="16" ht="76" customHeight="1">
      <x:c r="A16" s="14" t="str">
        <x:v>F2_E15</x:v>
      </x:c>
      <x:c r="B16" s="14" t="str">
        <x:v>((2S,3S)-3-Phenyloxiran-2-yl)methanol</x:v>
      </x:c>
      <x:c r="C16" s="15" t="str">
        <x:v>DMSO-d6</x:v>
      </x:c>
      <x:c r="D16" s="16" t="n">
        <x:v>2</x:v>
      </x:c>
      <x:c r="E16" s="16" t="n">
        <x:v>1</x:v>
      </x:c>
      <x:c r="F16" s="16" t="n">
        <x:v>1</x:v>
      </x:c>
      <x:c r="G16" s="16" t="n">
        <x:v>16</x:v>
      </x:c>
      <x:c r="H16" s="17" t="n">
        <x:f>F16*G16</x:f>
        <x:v>16</x:v>
      </x:c>
      <x:c r="I16" s="18" t="str">
        <x:v>30–70</x:v>
      </x:c>
      <x:c r="J16" s="14" t="str">
        <x:v>PBE/pcJ-3 或 PBE0/pcJ-2；待基准</x:v>
      </x:c>
      <x:c r="K16" s="14" t="str">
        <x:v>未运行</x:v>
      </x:c>
      <x:c r="L16" s="14" t="str">
        <x:v>苯基取向、羟甲基与环氧氧可竞争溶剂结合。</x:v>
      </x:c>
    </x:row>
    <x:row r="17" ht="76" customHeight="1">
      <x:c r="A17" s="3" t="str">
        <x:v>F2_E17</x:v>
      </x:c>
      <x:c r="B17" s="3" t="str">
        <x:v>Nerol-derived 2,3-epoxide (2k)</x:v>
      </x:c>
      <x:c r="C17" s="12" t="str">
        <x:v>DMSO-d6</x:v>
      </x:c>
      <x:c r="D17" s="13" t="n">
        <x:v>2</x:v>
      </x:c>
      <x:c r="E17" s="13" t="n">
        <x:v>1</x:v>
      </x:c>
      <x:c r="F17" s="13" t="n">
        <x:v>1</x:v>
      </x:c>
      <x:c r="G17" s="13" t="n">
        <x:v>24</x:v>
      </x:c>
      <x:c r="H17" s="9" t="n">
        <x:f>F17*G17</x:f>
        <x:v>24</x:v>
      </x:c>
      <x:c r="I17" s="11" t="str">
        <x:v>50–110</x:v>
      </x:c>
      <x:c r="J17" s="3" t="str">
        <x:v>PBE/pcJ-3 或 PBE0/pcJ-2；待基准</x:v>
      </x:c>
      <x:c r="K17" s="3" t="str">
        <x:v>未运行</x:v>
      </x:c>
      <x:c r="L17" s="3" t="str">
        <x:v>柔性萜烯侧链与羟甲基并存；需要折叠/伸展和不同氢键构型。</x:v>
      </x:c>
    </x:row>
    <x:row r="18" ht="76" customHeight="1">
      <x:c r="A18" s="14" t="str">
        <x:v>F2_E19</x:v>
      </x:c>
      <x:c r="B18" s="14" t="str">
        <x:v>(R)-1-(Oxiran-2-yl)cyclohexanol (2n; ring-18O)</x:v>
      </x:c>
      <x:c r="C18" s="15" t="str">
        <x:v>DMSO-d6</x:v>
      </x:c>
      <x:c r="D18" s="16" t="n">
        <x:v>2</x:v>
      </x:c>
      <x:c r="E18" s="16" t="n">
        <x:v>1</x:v>
      </x:c>
      <x:c r="F18" s="16" t="n">
        <x:v>1</x:v>
      </x:c>
      <x:c r="G18" s="16" t="n">
        <x:v>16</x:v>
      </x:c>
      <x:c r="H18" s="17" t="n">
        <x:f>F18*G18</x:f>
        <x:v>16</x:v>
      </x:c>
      <x:c r="I18" s="18" t="str">
        <x:v>30–70</x:v>
      </x:c>
      <x:c r="J18" s="14" t="str">
        <x:v>PBE/pcJ-3 或 PBE0/pcJ-2；待基准</x:v>
      </x:c>
      <x:c r="K18" s="14" t="str">
        <x:v>未运行</x:v>
      </x:c>
      <x:c r="L18" s="14" t="str">
        <x:v>环己烷椅式及羟基/环氧端取向均需覆盖。</x:v>
      </x:c>
    </x:row>
    <x:row r="19" ht="76" customHeight="1">
      <x:c r="A19" s="3" t="str">
        <x:v>F2_E21</x:v>
      </x:c>
      <x:c r="B19" s="3" t="str">
        <x:v>Cyclic homoallylic-alcohol epoxide (4g)</x:v>
      </x:c>
      <x:c r="C19" s="12" t="str">
        <x:v>DMSO-d6</x:v>
      </x:c>
      <x:c r="D19" s="13" t="n">
        <x:v>2</x:v>
      </x:c>
      <x:c r="E19" s="13" t="n">
        <x:v>1</x:v>
      </x:c>
      <x:c r="F19" s="13" t="n">
        <x:v>1</x:v>
      </x:c>
      <x:c r="G19" s="13" t="n">
        <x:v>16</x:v>
      </x:c>
      <x:c r="H19" s="9" t="n">
        <x:f>F19*G19</x:f>
        <x:v>16</x:v>
      </x:c>
      <x:c r="I19" s="11" t="str">
        <x:v>30–70</x:v>
      </x:c>
      <x:c r="J19" s="3" t="str">
        <x:v>PBE/pcJ-3 或 PBE0/pcJ-2；待基准</x:v>
      </x:c>
      <x:c r="K19" s="3" t="str">
        <x:v>未运行</x:v>
      </x:c>
      <x:c r="L19" s="3" t="str">
        <x:v>稠合环构象加羟乙基侧链；重点比较溶剂桥与独立结合。</x:v>
      </x:c>
    </x:row>
    <x:row r="20" ht="76" customHeight="1">
      <x:c r="A20" s="14" t="str">
        <x:v>F2_E22</x:v>
      </x:c>
      <x:c r="B20" s="14" t="str">
        <x:v>Carvone enone epoxide (carvone-1,2-oxide, 3)</x:v>
      </x:c>
      <x:c r="C20" s="15" t="str">
        <x:v>DMSO-d6</x:v>
      </x:c>
      <x:c r="D20" s="16" t="n">
        <x:v>2</x:v>
      </x:c>
      <x:c r="E20" s="16" t="n">
        <x:v>1</x:v>
      </x:c>
      <x:c r="F20" s="16" t="n">
        <x:v>2</x:v>
      </x:c>
      <x:c r="G20" s="16" t="n">
        <x:v>12</x:v>
      </x:c>
      <x:c r="H20" s="17" t="n">
        <x:f>F20*G20</x:f>
        <x:v>24</x:v>
      </x:c>
      <x:c r="I20" s="18" t="str">
        <x:v>20–50</x:v>
      </x:c>
      <x:c r="J20" s="14" t="str">
        <x:v>PBE/pcJ-3 或 PBE0/pcJ-2；待基准</x:v>
      </x:c>
      <x:c r="K20" s="14" t="str">
        <x:v>未运行</x:v>
      </x:c>
      <x:c r="L20" s="14" t="str">
        <x:v>环酮、环氧氧和环构象均需采样；两个面异构模型各12个独立起点。</x:v>
      </x:c>
    </x:row>
    <x:row r="21" ht="76" customHeight="1">
      <x:c r="A21" s="3" t="str">
        <x:v>F2_E23</x:v>
      </x:c>
      <x:c r="B21" s="3" t="str">
        <x:v>Chalcone alpha,beta-epoxide</x:v>
      </x:c>
      <x:c r="C21" s="12" t="str">
        <x:v>DMSO-d6</x:v>
      </x:c>
      <x:c r="D21" s="13" t="n">
        <x:v>2</x:v>
      </x:c>
      <x:c r="E21" s="13" t="n">
        <x:v>1</x:v>
      </x:c>
      <x:c r="F21" s="13" t="n">
        <x:v>1</x:v>
      </x:c>
      <x:c r="G21" s="13" t="n">
        <x:v>16</x:v>
      </x:c>
      <x:c r="H21" s="9" t="n">
        <x:f>F21*G21</x:f>
        <x:v>16</x:v>
      </x:c>
      <x:c r="I21" s="11" t="str">
        <x:v>30–70</x:v>
      </x:c>
      <x:c r="J21" s="3" t="str">
        <x:v>PBE/pcJ-3 或 PBE0/pcJ-2；待基准</x:v>
      </x:c>
      <x:c r="K21" s="3" t="str">
        <x:v>未运行</x:v>
      </x:c>
      <x:c r="L21" s="3" t="str">
        <x:v>两个苯基取向、羰基和环氧端组合较多。</x:v>
      </x:c>
    </x:row>
    <x:row r="22" ht="76" customHeight="1">
      <x:c r="A22" s="14" t="str">
        <x:v>F2_E24</x:v>
      </x:c>
      <x:c r="B22" s="14" t="str">
        <x:v>Menadione-2,3-epoxide</x:v>
      </x:c>
      <x:c r="C22" s="15" t="str">
        <x:v>DMSO-d6</x:v>
      </x:c>
      <x:c r="D22" s="16" t="n">
        <x:v>2</x:v>
      </x:c>
      <x:c r="E22" s="16" t="n">
        <x:v>1</x:v>
      </x:c>
      <x:c r="F22" s="16" t="n">
        <x:v>1</x:v>
      </x:c>
      <x:c r="G22" s="16" t="n">
        <x:v>12</x:v>
      </x:c>
      <x:c r="H22" s="17" t="n">
        <x:f>F22*G22</x:f>
        <x:v>12</x:v>
      </x:c>
      <x:c r="I22" s="18" t="str">
        <x:v>20–50</x:v>
      </x:c>
      <x:c r="J22" s="14" t="str">
        <x:v>PBE/pcJ-3 或 PBE0/pcJ-2；待基准</x:v>
      </x:c>
      <x:c r="K22" s="14" t="str">
        <x:v>未运行</x:v>
      </x:c>
      <x:c r="L22" s="14" t="str">
        <x:v>稠环较刚性，但两个羰基与环氧氧提供三个主要受体区域。</x:v>
      </x:c>
    </x:row>
    <x:row r="23" ht="76" customHeight="1">
      <x:c r="A23" s="3" t="str">
        <x:v>F2_E18</x:v>
      </x:c>
      <x:c r="B23" s="3" t="str">
        <x:v>Ester-functionalized farnesol-derived epoxide (2m)</x:v>
      </x:c>
      <x:c r="C23" s="12" t="str">
        <x:v>DMSO-d6</x:v>
      </x:c>
      <x:c r="D23" s="13" t="n">
        <x:v>2</x:v>
      </x:c>
      <x:c r="E23" s="13" t="n">
        <x:v>1</x:v>
      </x:c>
      <x:c r="F23" s="13" t="n">
        <x:v>1</x:v>
      </x:c>
      <x:c r="G23" s="13" t="n">
        <x:v>32</x:v>
      </x:c>
      <x:c r="H23" s="9" t="n">
        <x:f>F23*G23</x:f>
        <x:v>32</x:v>
      </x:c>
      <x:c r="I23" s="11" t="str">
        <x:v>70–150</x:v>
      </x:c>
      <x:c r="J23" s="3" t="str">
        <x:v>PBE/pcJ-3 或 PBE0/pcJ-2；待基准</x:v>
      </x:c>
      <x:c r="K23" s="3" t="str">
        <x:v>未运行</x:v>
      </x:c>
      <x:c r="L23" s="3" t="str">
        <x:v>9个可旋转键、长多烯链、酯和醇；本组最高柔性层级。</x:v>
      </x:c>
    </x:row>
    <x:row r="24" ht="76" customHeight="1">
      <x:c r="A24" s="14" t="str">
        <x:v>F2_E20</x:v>
      </x:c>
      <x:c r="B24" s="14" t="str">
        <x:v>Primary/tertiary-diol polyene-derived epoxide (2u)</x:v>
      </x:c>
      <x:c r="C24" s="15" t="str">
        <x:v>DMSO-d6</x:v>
      </x:c>
      <x:c r="D24" s="16" t="n">
        <x:v>2</x:v>
      </x:c>
      <x:c r="E24" s="16" t="n">
        <x:v>1</x:v>
      </x:c>
      <x:c r="F24" s="16" t="n">
        <x:v>1</x:v>
      </x:c>
      <x:c r="G24" s="16" t="n">
        <x:v>32</x:v>
      </x:c>
      <x:c r="H24" s="17" t="n">
        <x:f>F24*G24</x:f>
        <x:v>32</x:v>
      </x:c>
      <x:c r="I24" s="18" t="str">
        <x:v>70–150</x:v>
      </x:c>
      <x:c r="J24" s="14" t="str">
        <x:v>PBE/pcJ-3 或 PBE0/pcJ-2；待基准</x:v>
      </x:c>
      <x:c r="K24" s="14" t="str">
        <x:v>未运行</x:v>
      </x:c>
      <x:c r="L24" s="14" t="str">
        <x:v>8个可旋转键及两个羟基；链折叠和内/外氢键竞争显著。</x:v>
      </x:c>
    </x:row>
    <x:row r="25" ht="76" customHeight="1">
      <x:c r="A25" s="3" t="str">
        <x:v>F2_S01</x:v>
      </x:c>
      <x:c r="B25" s="3" t="str">
        <x:v>Methyl phenyl sulfoxide</x:v>
      </x:c>
      <x:c r="C25" s="12" t="str">
        <x:v>DMSO-d6</x:v>
      </x:c>
      <x:c r="D25" s="13" t="n">
        <x:v>2</x:v>
      </x:c>
      <x:c r="E25" s="13" t="n">
        <x:v>1</x:v>
      </x:c>
      <x:c r="F25" s="13" t="n">
        <x:v>1</x:v>
      </x:c>
      <x:c r="G25" s="13" t="n">
        <x:v>8</x:v>
      </x:c>
      <x:c r="H25" s="9" t="n">
        <x:f>F25*G25</x:f>
        <x:v>8</x:v>
      </x:c>
      <x:c r="I25" s="11" t="str">
        <x:v>12–30</x:v>
      </x:c>
      <x:c r="J25" s="3" t="str">
        <x:v>PBE/pcJ-3 或 PBE0/pcJ-2；待基准</x:v>
      </x:c>
      <x:c r="K25" s="3" t="str">
        <x:v>未运行</x:v>
      </x:c>
      <x:c r="L25" s="3" t="str">
        <x:v>单芳基亚砜主骨架简单；重点覆盖S=O周围不同氢键取向。 建议另做溶剂敏感性对照（本轮未启用）。</x:v>
      </x:c>
    </x:row>
    <x:row r="26" ht="76" customHeight="1">
      <x:c r="A26" s="14" t="str">
        <x:v>F2_S06</x:v>
      </x:c>
      <x:c r="B26" s="14" t="str">
        <x:v>Diphenyl sulfoxide</x:v>
      </x:c>
      <x:c r="C26" s="15" t="str">
        <x:v>DMSO-d6</x:v>
      </x:c>
      <x:c r="D26" s="16" t="n">
        <x:v>2</x:v>
      </x:c>
      <x:c r="E26" s="16" t="n">
        <x:v>1</x:v>
      </x:c>
      <x:c r="F26" s="16" t="n">
        <x:v>1</x:v>
      </x:c>
      <x:c r="G26" s="16" t="n">
        <x:v>12</x:v>
      </x:c>
      <x:c r="H26" s="17" t="n">
        <x:f>F26*G26</x:f>
        <x:v>12</x:v>
      </x:c>
      <x:c r="I26" s="18" t="str">
        <x:v>20–50</x:v>
      </x:c>
      <x:c r="J26" s="14" t="str">
        <x:v>PBE/pcJ-3 或 PBE0/pcJ-2；待基准</x:v>
      </x:c>
      <x:c r="K26" s="14" t="str">
        <x:v>未运行</x:v>
      </x:c>
      <x:c r="L26" s="14" t="str">
        <x:v>两个苯基绕硫旋转和S=O暴露面的组合。</x:v>
      </x:c>
    </x:row>
    <x:row r="27" ht="76" customHeight="1">
      <x:c r="A27" s="3" t="str">
        <x:v>F2_S07</x:v>
      </x:c>
      <x:c r="B27" s="3" t="str">
        <x:v>Benzyl methyl sulfoxide</x:v>
      </x:c>
      <x:c r="C27" s="12" t="str">
        <x:v>DMSO-d6</x:v>
      </x:c>
      <x:c r="D27" s="13" t="n">
        <x:v>2</x:v>
      </x:c>
      <x:c r="E27" s="13" t="n">
        <x:v>1</x:v>
      </x:c>
      <x:c r="F27" s="13" t="n">
        <x:v>1</x:v>
      </x:c>
      <x:c r="G27" s="13" t="n">
        <x:v>12</x:v>
      </x:c>
      <x:c r="H27" s="9" t="n">
        <x:f>F27*G27</x:f>
        <x:v>12</x:v>
      </x:c>
      <x:c r="I27" s="11" t="str">
        <x:v>20–50</x:v>
      </x:c>
      <x:c r="J27" s="3" t="str">
        <x:v>PBE/pcJ-3 或 PBE0/pcJ-2；待基准</x:v>
      </x:c>
      <x:c r="K27" s="3" t="str">
        <x:v>未运行</x:v>
      </x:c>
      <x:c r="L27" s="3" t="str">
        <x:v>苄基引入额外扭转；溶剂结合与苯环取向共同采样。</x:v>
      </x:c>
    </x:row>
    <x:row r="28" ht="76" customHeight="1">
      <x:c r="A28" s="14" t="str">
        <x:v>F2_S19</x:v>
      </x:c>
      <x:c r="B28" s="14" t="str">
        <x:v>Methyl (4-nitrophenyl) sulfoxide</x:v>
      </x:c>
      <x:c r="C28" s="15" t="str">
        <x:v>DMSO-d6</x:v>
      </x:c>
      <x:c r="D28" s="16" t="n">
        <x:v>2</x:v>
      </x:c>
      <x:c r="E28" s="16" t="n">
        <x:v>1</x:v>
      </x:c>
      <x:c r="F28" s="16" t="n">
        <x:v>1</x:v>
      </x:c>
      <x:c r="G28" s="16" t="n">
        <x:v>12</x:v>
      </x:c>
      <x:c r="H28" s="17" t="n">
        <x:f>F28*G28</x:f>
        <x:v>12</x:v>
      </x:c>
      <x:c r="I28" s="18" t="str">
        <x:v>20–50</x:v>
      </x:c>
      <x:c r="J28" s="14" t="str">
        <x:v>PBE/pcJ-3 或 PBE0/pcJ-2；待基准</x:v>
      </x:c>
      <x:c r="K28" s="14" t="str">
        <x:v>未运行</x:v>
      </x:c>
      <x:c r="L28" s="14" t="str">
        <x:v>硝基与亚砜氧构成不同溶剂结合区域。</x:v>
      </x:c>
    </x:row>
    <x:row r="29" ht="76" customHeight="1">
      <x:c r="A29" s="3" t="str">
        <x:v>F2_S22</x:v>
      </x:c>
      <x:c r="B29" s="3" t="str">
        <x:v>Cyclopropyl phenyl sulfoxide</x:v>
      </x:c>
      <x:c r="C29" s="12" t="str">
        <x:v>DMSO-d6</x:v>
      </x:c>
      <x:c r="D29" s="13" t="n">
        <x:v>2</x:v>
      </x:c>
      <x:c r="E29" s="13" t="n">
        <x:v>1</x:v>
      </x:c>
      <x:c r="F29" s="13" t="n">
        <x:v>1</x:v>
      </x:c>
      <x:c r="G29" s="13" t="n">
        <x:v>12</x:v>
      </x:c>
      <x:c r="H29" s="9" t="n">
        <x:f>F29*G29</x:f>
        <x:v>12</x:v>
      </x:c>
      <x:c r="I29" s="11" t="str">
        <x:v>20–50</x:v>
      </x:c>
      <x:c r="J29" s="3" t="str">
        <x:v>PBE/pcJ-3 或 PBE0/pcJ-2；待基准</x:v>
      </x:c>
      <x:c r="K29" s="3" t="str">
        <x:v>未运行</x:v>
      </x:c>
      <x:c r="L29" s="3" t="str">
        <x:v>环丙基/芳基相对取向及S=O配位面需要分别覆盖。</x:v>
      </x:c>
    </x:row>
    <x:row r="30" ht="76" customHeight="1">
      <x:c r="A30" s="14" t="str">
        <x:v>F2_S23</x:v>
      </x:c>
      <x:c r="B30" s="14" t="str">
        <x:v>Phenyl vinyl sulfoxide</x:v>
      </x:c>
      <x:c r="C30" s="15" t="str">
        <x:v>DMSO-d6</x:v>
      </x:c>
      <x:c r="D30" s="16" t="n">
        <x:v>2</x:v>
      </x:c>
      <x:c r="E30" s="16" t="n">
        <x:v>1</x:v>
      </x:c>
      <x:c r="F30" s="16" t="n">
        <x:v>1</x:v>
      </x:c>
      <x:c r="G30" s="16" t="n">
        <x:v>12</x:v>
      </x:c>
      <x:c r="H30" s="17" t="n">
        <x:f>F30*G30</x:f>
        <x:v>12</x:v>
      </x:c>
      <x:c r="I30" s="18" t="str">
        <x:v>20–50</x:v>
      </x:c>
      <x:c r="J30" s="14" t="str">
        <x:v>PBE/pcJ-3 或 PBE0/pcJ-2；待基准</x:v>
      </x:c>
      <x:c r="K30" s="14" t="str">
        <x:v>未运行</x:v>
      </x:c>
      <x:c r="L30" s="14" t="str">
        <x:v>乙烯基/芳基亚砜扭转与溶剂取向需要交叉采样。</x:v>
      </x:c>
    </x:row>
    <x:row r="31" ht="76" customHeight="1">
      <x:c r="A31" s="3" t="str">
        <x:v>F2_S12</x:v>
      </x:c>
      <x:c r="B31" s="3" t="str">
        <x:v>Di-n-butyl sulfone</x:v>
      </x:c>
      <x:c r="C31" s="12" t="str">
        <x:v>DMSO-d6</x:v>
      </x:c>
      <x:c r="D31" s="13" t="n">
        <x:v>2</x:v>
      </x:c>
      <x:c r="E31" s="13" t="n">
        <x:v>1</x:v>
      </x:c>
      <x:c r="F31" s="13" t="n">
        <x:v>1</x:v>
      </x:c>
      <x:c r="G31" s="13" t="n">
        <x:v>24</x:v>
      </x:c>
      <x:c r="H31" s="9" t="n">
        <x:f>F31*G31</x:f>
        <x:v>24</x:v>
      </x:c>
      <x:c r="I31" s="11" t="str">
        <x:v>50–110</x:v>
      </x:c>
      <x:c r="J31" s="3" t="str">
        <x:v>PBE/pcJ-3 或 PBE0/pcJ-2；待基准</x:v>
      </x:c>
      <x:c r="K31" s="3" t="str">
        <x:v>未运行</x:v>
      </x:c>
      <x:c r="L31" s="3" t="str">
        <x:v>两条丁基链共6个可旋转键，且砜有两个受体氧。</x:v>
      </x:c>
    </x:row>
    <x:row r="32" ht="76" customHeight="1">
      <x:c r="A32" s="14" t="str">
        <x:v>F2_S24</x:v>
      </x:c>
      <x:c r="B32" s="14" t="str">
        <x:v>Allyl phenyl sulfone</x:v>
      </x:c>
      <x:c r="C32" s="15" t="str">
        <x:v>DMSO-d6</x:v>
      </x:c>
      <x:c r="D32" s="16" t="n">
        <x:v>2</x:v>
      </x:c>
      <x:c r="E32" s="16" t="n">
        <x:v>1</x:v>
      </x:c>
      <x:c r="F32" s="16" t="n">
        <x:v>1</x:v>
      </x:c>
      <x:c r="G32" s="16" t="n">
        <x:v>16</x:v>
      </x:c>
      <x:c r="H32" s="17" t="n">
        <x:f>F32*G32</x:f>
        <x:v>16</x:v>
      </x:c>
      <x:c r="I32" s="18" t="str">
        <x:v>30–70</x:v>
      </x:c>
      <x:c r="J32" s="14" t="str">
        <x:v>PBE/pcJ-3 或 PBE0/pcJ-2；待基准</x:v>
      </x:c>
      <x:c r="K32" s="14" t="str">
        <x:v>未运行</x:v>
      </x:c>
      <x:c r="L32" s="14" t="str">
        <x:v>烯丙基链、芳基扭转及两个砜氧结合位置并存。</x:v>
      </x:c>
    </x:row>
    <x:row r="33" ht="76" customHeight="1">
      <x:c r="A33" s="3" t="str">
        <x:v>F2_S25</x:v>
      </x:c>
      <x:c r="B33" s="3" t="str">
        <x:v>2-(Phenylsulfonyl)ethan-1-ol</x:v>
      </x:c>
      <x:c r="C33" s="12" t="str">
        <x:v>DMSO-d6</x:v>
      </x:c>
      <x:c r="D33" s="13" t="n">
        <x:v>2</x:v>
      </x:c>
      <x:c r="E33" s="13" t="n">
        <x:v>1</x:v>
      </x:c>
      <x:c r="F33" s="13" t="n">
        <x:v>1</x:v>
      </x:c>
      <x:c r="G33" s="13" t="n">
        <x:v>16</x:v>
      </x:c>
      <x:c r="H33" s="9" t="n">
        <x:f>F33*G33</x:f>
        <x:v>16</x:v>
      </x:c>
      <x:c r="I33" s="11" t="str">
        <x:v>30–70</x:v>
      </x:c>
      <x:c r="J33" s="3" t="str">
        <x:v>PBE/pcJ-3 或 PBE0/pcJ-2；待基准</x:v>
      </x:c>
      <x:c r="K33" s="3" t="str">
        <x:v>未运行</x:v>
      </x:c>
      <x:c r="L33" s="3" t="str">
        <x:v>羟乙基与砜氧可形成内氢键或水桥；需覆盖竞争模式。</x:v>
      </x:c>
    </x:row>
    <x:row r="34" ht="76" customHeight="1">
      <x:c r="A34" s="14" t="str">
        <x:v>F2_S11</x:v>
      </x:c>
      <x:c r="B34" s="14" t="str">
        <x:v>Dibenzothiophene 5,5-dioxide</x:v>
      </x:c>
      <x:c r="C34" s="15" t="str">
        <x:v>DMSO-d6</x:v>
      </x:c>
      <x:c r="D34" s="16" t="n">
        <x:v>2</x:v>
      </x:c>
      <x:c r="E34" s="16" t="n">
        <x:v>1</x:v>
      </x:c>
      <x:c r="F34" s="16" t="n">
        <x:v>1</x:v>
      </x:c>
      <x:c r="G34" s="16" t="n">
        <x:v>8</x:v>
      </x:c>
      <x:c r="H34" s="17" t="n">
        <x:f>F34*G34</x:f>
        <x:v>8</x:v>
      </x:c>
      <x:c r="I34" s="18" t="str">
        <x:v>12–30</x:v>
      </x:c>
      <x:c r="J34" s="14" t="str">
        <x:v>PBE/pcJ-3 或 PBE0/pcJ-2；待基准</x:v>
      </x:c>
      <x:c r="K34" s="14" t="str">
        <x:v>未运行</x:v>
      </x:c>
      <x:c r="L34" s="14" t="str">
        <x:v>稠合芳香骨架刚性，主要变化为两个砜氧的溶剂位置。</x:v>
      </x:c>
    </x:row>
    <x:row r="35" ht="76" customHeight="1">
      <x:c r="A35" s="3" t="str">
        <x:v>F2_S26</x:v>
      </x:c>
      <x:c r="B35" s="3" t="str">
        <x:v>Thianthrene 5-oxide</x:v>
      </x:c>
      <x:c r="C35" s="12" t="str">
        <x:v>DMSO-d6</x:v>
      </x:c>
      <x:c r="D35" s="13" t="n">
        <x:v>2</x:v>
      </x:c>
      <x:c r="E35" s="13" t="n">
        <x:v>1</x:v>
      </x:c>
      <x:c r="F35" s="13" t="n">
        <x:v>1</x:v>
      </x:c>
      <x:c r="G35" s="13" t="n">
        <x:v>12</x:v>
      </x:c>
      <x:c r="H35" s="9" t="n">
        <x:f>F35*G35</x:f>
        <x:v>12</x:v>
      </x:c>
      <x:c r="I35" s="11" t="str">
        <x:v>20–50</x:v>
      </x:c>
      <x:c r="J35" s="3" t="str">
        <x:v>PBE/pcJ-3 或 PBE0/pcJ-2；待基准</x:v>
      </x:c>
      <x:c r="K35" s="3" t="str">
        <x:v>未运行</x:v>
      </x:c>
      <x:c r="L35" s="3" t="str">
        <x:v>噻蒽中心环有折叠自由度；不能仅依据0个可旋转键判为完全刚性。</x:v>
      </x:c>
    </x:row>
    <x:row r="36" ht="76" customHeight="1">
      <x:c r="A36" s="14" t="str">
        <x:v>F2_S27</x:v>
      </x:c>
      <x:c r="B36" s="14" t="str">
        <x:v>Thioxanthen-9-one 10-oxide</x:v>
      </x:c>
      <x:c r="C36" s="15" t="str">
        <x:v>DMSO-d6</x:v>
      </x:c>
      <x:c r="D36" s="16" t="n">
        <x:v>2</x:v>
      </x:c>
      <x:c r="E36" s="16" t="n">
        <x:v>1</x:v>
      </x:c>
      <x:c r="F36" s="16" t="n">
        <x:v>1</x:v>
      </x:c>
      <x:c r="G36" s="16" t="n">
        <x:v>12</x:v>
      </x:c>
      <x:c r="H36" s="17" t="n">
        <x:f>F36*G36</x:f>
        <x:v>12</x:v>
      </x:c>
      <x:c r="I36" s="18" t="str">
        <x:v>20–50</x:v>
      </x:c>
      <x:c r="J36" s="14" t="str">
        <x:v>PBE/pcJ-3 或 PBE0/pcJ-2；待基准</x:v>
      </x:c>
      <x:c r="K36" s="14" t="str">
        <x:v>未运行</x:v>
      </x:c>
      <x:c r="L36" s="14" t="str">
        <x:v>羰基与亚砜氧竞争结合，中心环折叠需要检查。</x:v>
      </x:c>
    </x:row>
    <x:row r="37" ht="76" customHeight="1">
      <x:c r="A37" s="3" t="str">
        <x:v>F2_S28</x:v>
      </x:c>
      <x:c r="B37" s="3" t="str">
        <x:v>d-Biocytin sulfone</x:v>
      </x:c>
      <x:c r="C37" s="12" t="str">
        <x:v>DMSO-d6</x:v>
      </x:c>
      <x:c r="D37" s="13" t="n">
        <x:v>2</x:v>
      </x:c>
      <x:c r="E37" s="13" t="n">
        <x:v>1</x:v>
      </x:c>
      <x:c r="F37" s="13" t="n">
        <x:v>1</x:v>
      </x:c>
      <x:c r="G37" s="13" t="n">
        <x:v>32</x:v>
      </x:c>
      <x:c r="H37" s="9" t="n">
        <x:f>F37*G37</x:f>
        <x:v>32</x:v>
      </x:c>
      <x:c r="I37" s="11" t="str">
        <x:v>70–150</x:v>
      </x:c>
      <x:c r="J37" s="3" t="str">
        <x:v>PBE/pcJ-3 或 PBE0/pcJ-2；待基准</x:v>
      </x:c>
      <x:c r="K37" s="3" t="str">
        <x:v>未运行</x:v>
      </x:c>
      <x:c r="L37" s="3" t="str">
        <x:v>11个可旋转键、多个NH/OH及羧酸；采用高采样预算，但须检查两性离子/质子化状态。 建议另做溶剂敏感性对照（本轮未启用）。</x:v>
      </x:c>
    </x:row>
    <x:row r="38" ht="76" customHeight="1">
      <x:c r="A38" s="14" t="str">
        <x:v>F3_N01</x:v>
      </x:c>
      <x:c r="B38" s="14" t="str">
        <x:v>Pyridine N-oxide</x:v>
      </x:c>
      <x:c r="C38" s="15" t="str">
        <x:v>DMSO-d6</x:v>
      </x:c>
      <x:c r="D38" s="16" t="n">
        <x:v>2</x:v>
      </x:c>
      <x:c r="E38" s="16" t="n">
        <x:v>1</x:v>
      </x:c>
      <x:c r="F38" s="16" t="n">
        <x:v>1</x:v>
      </x:c>
      <x:c r="G38" s="16" t="n">
        <x:v>8</x:v>
      </x:c>
      <x:c r="H38" s="17" t="n">
        <x:f>F38*G38</x:f>
        <x:v>8</x:v>
      </x:c>
      <x:c r="I38" s="18" t="str">
        <x:v>12–30</x:v>
      </x:c>
      <x:c r="J38" s="14" t="str">
        <x:v>PBE/pcJ-3 或 PBE0/pcJ-2；待基准</x:v>
      </x:c>
      <x:c r="K38" s="14" t="str">
        <x:v>未运行</x:v>
      </x:c>
      <x:c r="L38" s="14" t="str">
        <x:v>刚性单环N-氧化物，主要采样N-氧端的局部水/溶剂排列。 建议另做溶剂敏感性对照（本轮未启用）。</x:v>
      </x:c>
    </x:row>
    <x:row r="39" ht="76" customHeight="1">
      <x:c r="A39" s="3" t="str">
        <x:v>F3_N06</x:v>
      </x:c>
      <x:c r="B39" s="3" t="str">
        <x:v>Quinoline N-oxide</x:v>
      </x:c>
      <x:c r="C39" s="12" t="str">
        <x:v>DMSO-d6</x:v>
      </x:c>
      <x:c r="D39" s="13" t="n">
        <x:v>2</x:v>
      </x:c>
      <x:c r="E39" s="13" t="n">
        <x:v>1</x:v>
      </x:c>
      <x:c r="F39" s="13" t="n">
        <x:v>1</x:v>
      </x:c>
      <x:c r="G39" s="13" t="n">
        <x:v>8</x:v>
      </x:c>
      <x:c r="H39" s="9" t="n">
        <x:f>F39*G39</x:f>
        <x:v>8</x:v>
      </x:c>
      <x:c r="I39" s="11" t="str">
        <x:v>12–30</x:v>
      </x:c>
      <x:c r="J39" s="3" t="str">
        <x:v>PBE/pcJ-3 或 PBE0/pcJ-2；待基准</x:v>
      </x:c>
      <x:c r="K39" s="3" t="str">
        <x:v>未运行</x:v>
      </x:c>
      <x:c r="L39" s="3" t="str">
        <x:v>刚性稠合双环、一个主要N-氧受体区域。</x:v>
      </x:c>
    </x:row>
    <x:row r="40" ht="76" customHeight="1">
      <x:c r="A40" s="14" t="str">
        <x:v>F3_N14</x:v>
      </x:c>
      <x:c r="B40" s="14" t="str">
        <x:v>Pyrimidine mono-N-oxide</x:v>
      </x:c>
      <x:c r="C40" s="15" t="str">
        <x:v>DMSO-d6</x:v>
      </x:c>
      <x:c r="D40" s="16" t="n">
        <x:v>2</x:v>
      </x:c>
      <x:c r="E40" s="16" t="n">
        <x:v>1</x:v>
      </x:c>
      <x:c r="F40" s="16" t="n">
        <x:v>1</x:v>
      </x:c>
      <x:c r="G40" s="16" t="n">
        <x:v>12</x:v>
      </x:c>
      <x:c r="H40" s="17" t="n">
        <x:f>F40*G40</x:f>
        <x:v>12</x:v>
      </x:c>
      <x:c r="I40" s="18" t="str">
        <x:v>20–50</x:v>
      </x:c>
      <x:c r="J40" s="14" t="str">
        <x:v>PBE/pcJ-3 或 PBE0/pcJ-2；待基准</x:v>
      </x:c>
      <x:c r="K40" s="14" t="str">
        <x:v>未运行</x:v>
      </x:c>
      <x:c r="L40" s="14" t="str">
        <x:v>N-氧与另一个环氮提供竞争受体区域。</x:v>
      </x:c>
    </x:row>
    <x:row r="41" ht="76" customHeight="1">
      <x:c r="A41" s="3" t="str">
        <x:v>F3_N15</x:v>
      </x:c>
      <x:c r="B41" s="3" t="str">
        <x:v>2-Bromopyridine N-oxide</x:v>
      </x:c>
      <x:c r="C41" s="12" t="str">
        <x:v>DMSO-d6</x:v>
      </x:c>
      <x:c r="D41" s="13" t="n">
        <x:v>2</x:v>
      </x:c>
      <x:c r="E41" s="13" t="n">
        <x:v>1</x:v>
      </x:c>
      <x:c r="F41" s="13" t="n">
        <x:v>1</x:v>
      </x:c>
      <x:c r="G41" s="13" t="n">
        <x:v>8</x:v>
      </x:c>
      <x:c r="H41" s="9" t="n">
        <x:f>F41*G41</x:f>
        <x:v>8</x:v>
      </x:c>
      <x:c r="I41" s="11" t="str">
        <x:v>12–30</x:v>
      </x:c>
      <x:c r="J41" s="3" t="str">
        <x:v>PBE/pcJ-3 或 PBE0/pcJ-2；待基准</x:v>
      </x:c>
      <x:c r="K41" s="3" t="str">
        <x:v>未运行</x:v>
      </x:c>
      <x:c r="L41" s="3" t="str">
        <x:v>溴代单环基本刚性；结构采样不由Br混合J基组设置替代。</x:v>
      </x:c>
    </x:row>
    <x:row r="42" ht="76" customHeight="1">
      <x:c r="A42" s="14" t="str">
        <x:v>F3_N16</x:v>
      </x:c>
      <x:c r="B42" s="14" t="str">
        <x:v>2-(Hydroxymethyl)pyridine N-oxide</x:v>
      </x:c>
      <x:c r="C42" s="15" t="str">
        <x:v>DMSO-d6</x:v>
      </x:c>
      <x:c r="D42" s="16" t="n">
        <x:v>2</x:v>
      </x:c>
      <x:c r="E42" s="16" t="n">
        <x:v>1</x:v>
      </x:c>
      <x:c r="F42" s="16" t="n">
        <x:v>1</x:v>
      </x:c>
      <x:c r="G42" s="16" t="n">
        <x:v>16</x:v>
      </x:c>
      <x:c r="H42" s="17" t="n">
        <x:f>F42*G42</x:f>
        <x:v>16</x:v>
      </x:c>
      <x:c r="I42" s="18" t="str">
        <x:v>30–70</x:v>
      </x:c>
      <x:c r="J42" s="14" t="str">
        <x:v>PBE/pcJ-3 或 PBE0/pcJ-2；待基准</x:v>
      </x:c>
      <x:c r="K42" s="14" t="str">
        <x:v>未运行</x:v>
      </x:c>
      <x:c r="L42" s="14" t="str">
        <x:v>羟甲基可向N-氧形成内氢键，也可被DMSO/水竞争打断。</x:v>
      </x:c>
    </x:row>
    <x:row r="43" ht="76" customHeight="1">
      <x:c r="A43" s="3" t="str">
        <x:v>F3_N17</x:v>
      </x:c>
      <x:c r="B43" s="3" t="str">
        <x:v>Quinoxaline mono-N-oxide</x:v>
      </x:c>
      <x:c r="C43" s="12" t="str">
        <x:v>DMSO-d6</x:v>
      </x:c>
      <x:c r="D43" s="13" t="n">
        <x:v>2</x:v>
      </x:c>
      <x:c r="E43" s="13" t="n">
        <x:v>1</x:v>
      </x:c>
      <x:c r="F43" s="13" t="n">
        <x:v>1</x:v>
      </x:c>
      <x:c r="G43" s="13" t="n">
        <x:v>12</x:v>
      </x:c>
      <x:c r="H43" s="9" t="n">
        <x:f>F43*G43</x:f>
        <x:v>12</x:v>
      </x:c>
      <x:c r="I43" s="11" t="str">
        <x:v>20–50</x:v>
      </x:c>
      <x:c r="J43" s="3" t="str">
        <x:v>PBE/pcJ-3 或 PBE0/pcJ-2；待基准</x:v>
      </x:c>
      <x:c r="K43" s="3" t="str">
        <x:v>未运行</x:v>
      </x:c>
      <x:c r="L43" s="3" t="str">
        <x:v>稠环虽刚性，但N-氧与另一环氮的溶剂模式不同。</x:v>
      </x:c>
    </x:row>
    <x:row r="44" ht="76" customHeight="1">
      <x:c r="A44" s="14" t="str">
        <x:v>F3_N18</x:v>
      </x:c>
      <x:c r="B44" s="14" t="str">
        <x:v>Thiazole N-oxide</x:v>
      </x:c>
      <x:c r="C44" s="15" t="str">
        <x:v>DMSO-d6</x:v>
      </x:c>
      <x:c r="D44" s="16" t="n">
        <x:v>2</x:v>
      </x:c>
      <x:c r="E44" s="16" t="n">
        <x:v>1</x:v>
      </x:c>
      <x:c r="F44" s="16" t="n">
        <x:v>1</x:v>
      </x:c>
      <x:c r="G44" s="16" t="n">
        <x:v>12</x:v>
      </x:c>
      <x:c r="H44" s="17" t="n">
        <x:f>F44*G44</x:f>
        <x:v>12</x:v>
      </x:c>
      <x:c r="I44" s="18" t="str">
        <x:v>20–50</x:v>
      </x:c>
      <x:c r="J44" s="14" t="str">
        <x:v>PBE/pcJ-3 或 PBE0/pcJ-2；待基准</x:v>
      </x:c>
      <x:c r="K44" s="14" t="str">
        <x:v>未运行</x:v>
      </x:c>
      <x:c r="L44" s="14" t="str">
        <x:v>N-氧与含硫杂环的不同溶剂接近方向需要覆盖。</x:v>
      </x:c>
    </x:row>
    <x:row r="45" ht="76" customHeight="1">
      <x:c r="A45" s="3" t="str">
        <x:v>F3_N25</x:v>
      </x:c>
      <x:c r="B45" s="3" t="str">
        <x:v>4-Cyanopyridine N-oxide</x:v>
      </x:c>
      <x:c r="C45" s="12" t="str">
        <x:v>DMSO-d6</x:v>
      </x:c>
      <x:c r="D45" s="13" t="n">
        <x:v>2</x:v>
      </x:c>
      <x:c r="E45" s="13" t="n">
        <x:v>1</x:v>
      </x:c>
      <x:c r="F45" s="13" t="n">
        <x:v>1</x:v>
      </x:c>
      <x:c r="G45" s="13" t="n">
        <x:v>12</x:v>
      </x:c>
      <x:c r="H45" s="9" t="n">
        <x:f>F45*G45</x:f>
        <x:v>12</x:v>
      </x:c>
      <x:c r="I45" s="11" t="str">
        <x:v>20–50</x:v>
      </x:c>
      <x:c r="J45" s="3" t="str">
        <x:v>PBE/pcJ-3 或 PBE0/pcJ-2；待基准</x:v>
      </x:c>
      <x:c r="K45" s="3" t="str">
        <x:v>未运行</x:v>
      </x:c>
      <x:c r="L45" s="3" t="str">
        <x:v>腈端和N-氧端的溶剂定位不同。</x:v>
      </x:c>
    </x:row>
    <x:row r="46" ht="76" customHeight="1">
      <x:c r="A46" s="14" t="str">
        <x:v>F3_N26</x:v>
      </x:c>
      <x:c r="B46" s="14" t="str">
        <x:v>N-Methylpiperidine N-oxide</x:v>
      </x:c>
      <x:c r="C46" s="15" t="str">
        <x:v>DMSO-d6</x:v>
      </x:c>
      <x:c r="D46" s="16" t="n">
        <x:v>2</x:v>
      </x:c>
      <x:c r="E46" s="16" t="n">
        <x:v>1</x:v>
      </x:c>
      <x:c r="F46" s="16" t="n">
        <x:v>1</x:v>
      </x:c>
      <x:c r="G46" s="16" t="n">
        <x:v>12</x:v>
      </x:c>
      <x:c r="H46" s="17" t="n">
        <x:f>F46*G46</x:f>
        <x:v>12</x:v>
      </x:c>
      <x:c r="I46" s="18" t="str">
        <x:v>20–50</x:v>
      </x:c>
      <x:c r="J46" s="14" t="str">
        <x:v>PBE/pcJ-3 或 PBE0/pcJ-2；待基准</x:v>
      </x:c>
      <x:c r="K46" s="14" t="str">
        <x:v>未运行</x:v>
      </x:c>
      <x:c r="L46" s="14" t="str">
        <x:v>哌啶环椅式及N-氧取向不能用0个可旋转键概括。</x:v>
      </x:c>
    </x:row>
    <x:row r="47" ht="76" customHeight="1">
      <x:c r="A47" s="3" t="str">
        <x:v>F3_N28</x:v>
      </x:c>
      <x:c r="B47" s="3" t="str">
        <x:v>N,N-Dimethylcyclohexylamine N-oxide</x:v>
      </x:c>
      <x:c r="C47" s="12" t="str">
        <x:v>DMSO-d6</x:v>
      </x:c>
      <x:c r="D47" s="13" t="n">
        <x:v>2</x:v>
      </x:c>
      <x:c r="E47" s="13" t="n">
        <x:v>1</x:v>
      </x:c>
      <x:c r="F47" s="13" t="n">
        <x:v>1</x:v>
      </x:c>
      <x:c r="G47" s="13" t="n">
        <x:v>12</x:v>
      </x:c>
      <x:c r="H47" s="9" t="n">
        <x:f>F47*G47</x:f>
        <x:v>12</x:v>
      </x:c>
      <x:c r="I47" s="11" t="str">
        <x:v>20–50</x:v>
      </x:c>
      <x:c r="J47" s="3" t="str">
        <x:v>PBE/pcJ-3 或 PBE0/pcJ-2；待基准</x:v>
      </x:c>
      <x:c r="K47" s="3" t="str">
        <x:v>未运行</x:v>
      </x:c>
      <x:c r="L47" s="3" t="str">
        <x:v>环己基椅式及环外胺氧取向需要联合采样。</x:v>
      </x:c>
    </x:row>
    <x:row r="48" ht="76" customHeight="1">
      <x:c r="A48" s="14" t="str">
        <x:v>F3_N09</x:v>
      </x:c>
      <x:c r="B48" s="14" t="str">
        <x:v>[18O]2,2'-Bipyridine mono-N-oxide</x:v>
      </x:c>
      <x:c r="C48" s="15" t="str">
        <x:v>DMSO-d6</x:v>
      </x:c>
      <x:c r="D48" s="16" t="n">
        <x:v>2</x:v>
      </x:c>
      <x:c r="E48" s="16" t="n">
        <x:v>1</x:v>
      </x:c>
      <x:c r="F48" s="16" t="n">
        <x:v>1</x:v>
      </x:c>
      <x:c r="G48" s="16" t="n">
        <x:v>12</x:v>
      </x:c>
      <x:c r="H48" s="17" t="n">
        <x:f>F48*G48</x:f>
        <x:v>12</x:v>
      </x:c>
      <x:c r="I48" s="18" t="str">
        <x:v>20–50</x:v>
      </x:c>
      <x:c r="J48" s="14" t="str">
        <x:v>PBE/pcJ-3 或 PBE0/pcJ-2；待基准</x:v>
      </x:c>
      <x:c r="K48" s="14" t="str">
        <x:v>未运行</x:v>
      </x:c>
      <x:c r="L48" s="14" t="str">
        <x:v>联吡啶环间扭转和两个不同受体位点。</x:v>
      </x:c>
    </x:row>
    <x:row r="49" ht="76" customHeight="1">
      <x:c r="A49" s="3" t="str">
        <x:v>F3_N10</x:v>
      </x:c>
      <x:c r="B49" s="3" t="str">
        <x:v>[18O]1,10-Phenanthroline mono-N-oxide</x:v>
      </x:c>
      <x:c r="C49" s="12" t="str">
        <x:v>DMSO-d6</x:v>
      </x:c>
      <x:c r="D49" s="13" t="n">
        <x:v>2</x:v>
      </x:c>
      <x:c r="E49" s="13" t="n">
        <x:v>1</x:v>
      </x:c>
      <x:c r="F49" s="13" t="n">
        <x:v>1</x:v>
      </x:c>
      <x:c r="G49" s="13" t="n">
        <x:v>12</x:v>
      </x:c>
      <x:c r="H49" s="9" t="n">
        <x:f>F49*G49</x:f>
        <x:v>12</x:v>
      </x:c>
      <x:c r="I49" s="11" t="str">
        <x:v>20–50</x:v>
      </x:c>
      <x:c r="J49" s="3" t="str">
        <x:v>PBE/pcJ-3 或 PBE0/pcJ-2；待基准</x:v>
      </x:c>
      <x:c r="K49" s="3" t="str">
        <x:v>未运行</x:v>
      </x:c>
      <x:c r="L49" s="3" t="str">
        <x:v>刚性大稠环但存在N-氧/未氧化N两个结合区域。</x:v>
      </x:c>
    </x:row>
    <x:row r="50" ht="76" customHeight="1">
      <x:c r="A50" s="14" t="str">
        <x:v>F3_N19</x:v>
      </x:c>
      <x:c r="B50" s="14" t="str">
        <x:v>[18O]phenanthridine N-oxide</x:v>
      </x:c>
      <x:c r="C50" s="15" t="str">
        <x:v>DMSO-d6</x:v>
      </x:c>
      <x:c r="D50" s="16" t="n">
        <x:v>2</x:v>
      </x:c>
      <x:c r="E50" s="16" t="n">
        <x:v>1</x:v>
      </x:c>
      <x:c r="F50" s="16" t="n">
        <x:v>1</x:v>
      </x:c>
      <x:c r="G50" s="16" t="n">
        <x:v>8</x:v>
      </x:c>
      <x:c r="H50" s="17" t="n">
        <x:f>F50*G50</x:f>
        <x:v>8</x:v>
      </x:c>
      <x:c r="I50" s="18" t="str">
        <x:v>12–30</x:v>
      </x:c>
      <x:c r="J50" s="14" t="str">
        <x:v>PBE/pcJ-3 或 PBE0/pcJ-2；待基准</x:v>
      </x:c>
      <x:c r="K50" s="14" t="str">
        <x:v>未运行</x:v>
      </x:c>
      <x:c r="L50" s="14" t="str">
        <x:v>刚性稠环、一个主要N-氧受体；重点为局部溶剂取向。</x:v>
      </x:c>
    </x:row>
    <x:row r="51" ht="76" customHeight="1">
      <x:c r="A51" s="3" t="str">
        <x:v>F3_N29</x:v>
      </x:c>
      <x:c r="B51" s="3" t="str">
        <x:v>[18O3]2,2':6',2''-Terpyridine 1,1',1''-trioxide</x:v>
      </x:c>
      <x:c r="C51" s="12" t="str">
        <x:v>DMSO-d6</x:v>
      </x:c>
      <x:c r="D51" s="13" t="n">
        <x:v>2</x:v>
      </x:c>
      <x:c r="E51" s="13" t="n">
        <x:v>1</x:v>
      </x:c>
      <x:c r="F51" s="13" t="n">
        <x:v>1</x:v>
      </x:c>
      <x:c r="G51" s="13" t="n">
        <x:v>24</x:v>
      </x:c>
      <x:c r="H51" s="9" t="n">
        <x:f>F51*G51</x:f>
        <x:v>24</x:v>
      </x:c>
      <x:c r="I51" s="11" t="str">
        <x:v>50–110</x:v>
      </x:c>
      <x:c r="J51" s="3" t="str">
        <x:v>PBE/pcJ-3 或 PBE0/pcJ-2；待基准</x:v>
      </x:c>
      <x:c r="K51" s="3" t="str">
        <x:v>未运行</x:v>
      </x:c>
      <x:c r="L51" s="3" t="str">
        <x:v>两个芳环间扭转加三个N-氧中心，溶剂排列组合较多。</x:v>
      </x:c>
    </x:row>
    <x:row r="52" ht="76" customHeight="1">
      <x:c r="A52" s="14" t="str">
        <x:v>F3_N30</x:v>
      </x:c>
      <x:c r="B52" s="14" t="str">
        <x:v>[18O]1-Carboxyphenazine 5-oxide</x:v>
      </x:c>
      <x:c r="C52" s="15" t="str">
        <x:v>DMSO-d6</x:v>
      </x:c>
      <x:c r="D52" s="16" t="n">
        <x:v>2</x:v>
      </x:c>
      <x:c r="E52" s="16" t="n">
        <x:v>1</x:v>
      </x:c>
      <x:c r="F52" s="16" t="n">
        <x:v>1</x:v>
      </x:c>
      <x:c r="G52" s="16" t="n">
        <x:v>16</x:v>
      </x:c>
      <x:c r="H52" s="17" t="n">
        <x:f>F52*G52</x:f>
        <x:v>16</x:v>
      </x:c>
      <x:c r="I52" s="18" t="str">
        <x:v>30–70</x:v>
      </x:c>
      <x:c r="J52" s="14" t="str">
        <x:v>PBE/pcJ-3 或 PBE0/pcJ-2；待基准</x:v>
      </x:c>
      <x:c r="K52" s="14" t="str">
        <x:v>未运行</x:v>
      </x:c>
      <x:c r="L52" s="14" t="str">
        <x:v>羧酸、N-氧及环氮竞争氢键；酸/碱及互变异构状态需实验核实。</x:v>
      </x:c>
    </x:row>
    <x:row r="53" ht="76" customHeight="1">
      <x:c r="A53" s="3" t="str">
        <x:v>F3_N32</x:v>
      </x:c>
      <x:c r="B53" s="3" t="str">
        <x:v>[N-oxide-18O]oxymatrine</x:v>
      </x:c>
      <x:c r="C53" s="12" t="str">
        <x:v>DMSO-d6</x:v>
      </x:c>
      <x:c r="D53" s="13" t="n">
        <x:v>2</x:v>
      </x:c>
      <x:c r="E53" s="13" t="n">
        <x:v>1</x:v>
      </x:c>
      <x:c r="F53" s="13" t="n">
        <x:v>1</x:v>
      </x:c>
      <x:c r="G53" s="13" t="n">
        <x:v>16</x:v>
      </x:c>
      <x:c r="H53" s="9" t="n">
        <x:f>F53*G53</x:f>
        <x:v>16</x:v>
      </x:c>
      <x:c r="I53" s="11" t="str">
        <x:v>30–70</x:v>
      </x:c>
      <x:c r="J53" s="3" t="str">
        <x:v>PBE/pcJ-3 或 PBE0/pcJ-2；待基准</x:v>
      </x:c>
      <x:c r="K53" s="3" t="str">
        <x:v>未运行</x:v>
      </x:c>
      <x:c r="L53" s="3" t="str">
        <x:v>多环生物碱虽无普通可旋转键，仍需考虑饱和环形变及羰基/N-氧的溶剂分配。</x:v>
      </x:c>
    </x:row>
    <x:row r="54" ht="76" customHeight="1">
      <x:c r="A54" s="14" t="str">
        <x:v>F3_N33</x:v>
      </x:c>
      <x:c r="B54" s="14" t="str">
        <x:v>[18O]quinine quinuclidine N-oxide</x:v>
      </x:c>
      <x:c r="C54" s="15" t="str">
        <x:v>DMSO-d6</x:v>
      </x:c>
      <x:c r="D54" s="16" t="n">
        <x:v>2</x:v>
      </x:c>
      <x:c r="E54" s="16" t="n">
        <x:v>1</x:v>
      </x:c>
      <x:c r="F54" s="16" t="n">
        <x:v>1</x:v>
      </x:c>
      <x:c r="G54" s="16" t="n">
        <x:v>24</x:v>
      </x:c>
      <x:c r="H54" s="17" t="n">
        <x:f>F54*G54</x:f>
        <x:v>24</x:v>
      </x:c>
      <x:c r="I54" s="18" t="str">
        <x:v>50–110</x:v>
      </x:c>
      <x:c r="J54" s="14" t="str">
        <x:v>PBE/pcJ-3 或 PBE0/pcJ-2；待基准</x:v>
      </x:c>
      <x:c r="K54" s="14" t="str">
        <x:v>未运行</x:v>
      </x:c>
      <x:c r="L54" s="14" t="str">
        <x:v>柔性生物碱、醇、杂芳环与N-氧共存，具有多种竞争氢键/折叠。</x:v>
      </x:c>
    </x:row>
    <x:row r="55" ht="76" customHeight="1">
      <x:c r="A55" s="3" t="str">
        <x:v>F3_B01</x:v>
      </x:c>
      <x:c r="B55" s="3" t="str">
        <x:v>gamma-Butyrolactone</x:v>
      </x:c>
      <x:c r="C55" s="12" t="str">
        <x:v>DMSO-d6</x:v>
      </x:c>
      <x:c r="D55" s="13" t="n">
        <x:v>2</x:v>
      </x:c>
      <x:c r="E55" s="13" t="n">
        <x:v>1</x:v>
      </x:c>
      <x:c r="F55" s="13" t="n">
        <x:v>1</x:v>
      </x:c>
      <x:c r="G55" s="13" t="n">
        <x:v>8</x:v>
      </x:c>
      <x:c r="H55" s="9" t="n">
        <x:f>F55*G55</x:f>
        <x:v>8</x:v>
      </x:c>
      <x:c r="I55" s="11" t="str">
        <x:v>12–30</x:v>
      </x:c>
      <x:c r="J55" s="3" t="str">
        <x:v>PBE/pcJ-3 或 PBE0/pcJ-2；待基准</x:v>
      </x:c>
      <x:c r="K55" s="3" t="str">
        <x:v>未运行</x:v>
      </x:c>
      <x:c r="L55" s="3" t="str">
        <x:v>小五元内酯；保留环起伏和两个氧周围溶剂取向。</x:v>
      </x:c>
    </x:row>
    <x:row r="56" ht="76" customHeight="1">
      <x:c r="A56" s="14" t="str">
        <x:v>F3_B03</x:v>
      </x:c>
      <x:c r="B56" s="14" t="str">
        <x:v>epsilon-Caprolactone</x:v>
      </x:c>
      <x:c r="C56" s="15" t="str">
        <x:v>DMSO-d6</x:v>
      </x:c>
      <x:c r="D56" s="16" t="n">
        <x:v>2</x:v>
      </x:c>
      <x:c r="E56" s="16" t="n">
        <x:v>1</x:v>
      </x:c>
      <x:c r="F56" s="16" t="n">
        <x:v>1</x:v>
      </x:c>
      <x:c r="G56" s="16" t="n">
        <x:v>16</x:v>
      </x:c>
      <x:c r="H56" s="17" t="n">
        <x:f>F56*G56</x:f>
        <x:v>16</x:v>
      </x:c>
      <x:c r="I56" s="18" t="str">
        <x:v>30–70</x:v>
      </x:c>
      <x:c r="J56" s="14" t="str">
        <x:v>PBE/pcJ-3 或 PBE0/pcJ-2；待基准</x:v>
      </x:c>
      <x:c r="K56" s="14" t="str">
        <x:v>未运行</x:v>
      </x:c>
      <x:c r="L56" s="14" t="str">
        <x:v>七元内酯存在多种环构象；0个RDKit可旋转键不代表刚性。 建议另做溶剂敏感性对照（本轮未启用）。</x:v>
      </x:c>
    </x:row>
    <x:row r="57" ht="76" customHeight="1">
      <x:c r="A57" s="3" t="str">
        <x:v>F3_B05</x:v>
      </x:c>
      <x:c r="B57" s="3" t="str">
        <x:v>5-tert-Butyloxepan-2-one</x:v>
      </x:c>
      <x:c r="C57" s="12" t="str">
        <x:v>DMSO-d6</x:v>
      </x:c>
      <x:c r="D57" s="13" t="n">
        <x:v>2</x:v>
      </x:c>
      <x:c r="E57" s="13" t="n">
        <x:v>1</x:v>
      </x:c>
      <x:c r="F57" s="13" t="n">
        <x:v>1</x:v>
      </x:c>
      <x:c r="G57" s="13" t="n">
        <x:v>16</x:v>
      </x:c>
      <x:c r="H57" s="9" t="n">
        <x:f>F57*G57</x:f>
        <x:v>16</x:v>
      </x:c>
      <x:c r="I57" s="11" t="str">
        <x:v>30–70</x:v>
      </x:c>
      <x:c r="J57" s="3" t="str">
        <x:v>PBE/pcJ-3 或 PBE0/pcJ-2；待基准</x:v>
      </x:c>
      <x:c r="K57" s="3" t="str">
        <x:v>未运行</x:v>
      </x:c>
      <x:c r="L57" s="3" t="str">
        <x:v>取代七元内酯的环翻转、位阻和溶剂取向均需覆盖。</x:v>
      </x:c>
    </x:row>
    <x:row r="58" ht="76" customHeight="1">
      <x:c r="A58" s="14" t="str">
        <x:v>F3_B06</x:v>
      </x:c>
      <x:c r="B58" s="14" t="str">
        <x:v>Adamantan-2-one-derived lactone</x:v>
      </x:c>
      <x:c r="C58" s="15" t="str">
        <x:v>DMSO-d6</x:v>
      </x:c>
      <x:c r="D58" s="16" t="n">
        <x:v>2</x:v>
      </x:c>
      <x:c r="E58" s="16" t="n">
        <x:v>1</x:v>
      </x:c>
      <x:c r="F58" s="16" t="n">
        <x:v>1</x:v>
      </x:c>
      <x:c r="G58" s="16" t="n">
        <x:v>12</x:v>
      </x:c>
      <x:c r="H58" s="17" t="n">
        <x:f>F58*G58</x:f>
        <x:v>12</x:v>
      </x:c>
      <x:c r="I58" s="18" t="str">
        <x:v>20–50</x:v>
      </x:c>
      <x:c r="J58" s="14" t="str">
        <x:v>PBE/pcJ-3 或 PBE0/pcJ-2；待基准</x:v>
      </x:c>
      <x:c r="K58" s="14" t="str">
        <x:v>未运行</x:v>
      </x:c>
      <x:c r="L58" s="14" t="str">
        <x:v>笼状内酯总体刚性，但扩环桥连骨架与两个氧的溶剂模式需检查。</x:v>
      </x:c>
    </x:row>
    <x:row r="59" ht="76" customHeight="1">
      <x:c r="A59" s="3" t="str">
        <x:v>F3_B08</x:v>
      </x:c>
      <x:c r="B59" s="3" t="str">
        <x:v>4-Methoxyphenyl acetate</x:v>
      </x:c>
      <x:c r="C59" s="12" t="str">
        <x:v>DMSO-d6</x:v>
      </x:c>
      <x:c r="D59" s="13" t="n">
        <x:v>2</x:v>
      </x:c>
      <x:c r="E59" s="13" t="n">
        <x:v>1</x:v>
      </x:c>
      <x:c r="F59" s="13" t="n">
        <x:v>1</x:v>
      </x:c>
      <x:c r="G59" s="13" t="n">
        <x:v>12</x:v>
      </x:c>
      <x:c r="H59" s="9" t="n">
        <x:f>F59*G59</x:f>
        <x:v>12</x:v>
      </x:c>
      <x:c r="I59" s="11" t="str">
        <x:v>20–50</x:v>
      </x:c>
      <x:c r="J59" s="3" t="str">
        <x:v>PBE/pcJ-3 或 PBE0/pcJ-2；待基准</x:v>
      </x:c>
      <x:c r="K59" s="3" t="str">
        <x:v>未运行</x:v>
      </x:c>
      <x:c r="L59" s="3" t="str">
        <x:v>芳氧酯/甲氧基扭转及三个氧受体位置不同。</x:v>
      </x:c>
    </x:row>
    <x:row r="60" ht="76" customHeight="1">
      <x:c r="A60" s="14" t="str">
        <x:v>F3_B14</x:v>
      </x:c>
      <x:c r="B60" s="14" t="str">
        <x:v>5-Phenyloxepan-2-one</x:v>
      </x:c>
      <x:c r="C60" s="15" t="str">
        <x:v>DMSO-d6</x:v>
      </x:c>
      <x:c r="D60" s="16" t="n">
        <x:v>2</x:v>
      </x:c>
      <x:c r="E60" s="16" t="n">
        <x:v>1</x:v>
      </x:c>
      <x:c r="F60" s="16" t="n">
        <x:v>1</x:v>
      </x:c>
      <x:c r="G60" s="16" t="n">
        <x:v>16</x:v>
      </x:c>
      <x:c r="H60" s="17" t="n">
        <x:f>F60*G60</x:f>
        <x:v>16</x:v>
      </x:c>
      <x:c r="I60" s="18" t="str">
        <x:v>30–70</x:v>
      </x:c>
      <x:c r="J60" s="14" t="str">
        <x:v>PBE/pcJ-3 或 PBE0/pcJ-2；待基准</x:v>
      </x:c>
      <x:c r="K60" s="14" t="str">
        <x:v>未运行</x:v>
      </x:c>
      <x:c r="L60" s="14" t="str">
        <x:v>七元环和苯基相对取向增加构象数。</x:v>
      </x:c>
    </x:row>
    <x:row r="61" ht="76" customHeight="1">
      <x:c r="A61" s="3" t="str">
        <x:v>F3_B15</x:v>
      </x:c>
      <x:c r="B61" s="3" t="str">
        <x:v>(4R,7S)-7-Isopropyl-4-methyloxepan-2-one (ring-18O)</x:v>
      </x:c>
      <x:c r="C61" s="12" t="str">
        <x:v>DMSO-d6</x:v>
      </x:c>
      <x:c r="D61" s="13" t="n">
        <x:v>2</x:v>
      </x:c>
      <x:c r="E61" s="13" t="n">
        <x:v>1</x:v>
      </x:c>
      <x:c r="F61" s="13" t="n">
        <x:v>1</x:v>
      </x:c>
      <x:c r="G61" s="13" t="n">
        <x:v>16</x:v>
      </x:c>
      <x:c r="H61" s="9" t="n">
        <x:f>F61*G61</x:f>
        <x:v>16</x:v>
      </x:c>
      <x:c r="I61" s="11" t="str">
        <x:v>30–70</x:v>
      </x:c>
      <x:c r="J61" s="3" t="str">
        <x:v>PBE/pcJ-3 或 PBE0/pcJ-2；待基准</x:v>
      </x:c>
      <x:c r="K61" s="3" t="str">
        <x:v>未运行</x:v>
      </x:c>
      <x:c r="L61" s="3" t="str">
        <x:v>多取代七元内酯的环形变及异丙基取向需采样。</x:v>
      </x:c>
    </x:row>
    <x:row r="62" ht="76" customHeight="1">
      <x:c r="A62" s="14" t="str">
        <x:v>F3_B16</x:v>
      </x:c>
      <x:c r="B62" s="14" t="str">
        <x:v>1,4,8-Trioxaspiro[4.6]undecan-9-one (inserted ring-18O)</x:v>
      </x:c>
      <x:c r="C62" s="15" t="str">
        <x:v>DMSO-d6</x:v>
      </x:c>
      <x:c r="D62" s="16" t="n">
        <x:v>2</x:v>
      </x:c>
      <x:c r="E62" s="16" t="n">
        <x:v>1</x:v>
      </x:c>
      <x:c r="F62" s="16" t="n">
        <x:v>1</x:v>
      </x:c>
      <x:c r="G62" s="16" t="n">
        <x:v>16</x:v>
      </x:c>
      <x:c r="H62" s="17" t="n">
        <x:f>F62*G62</x:f>
        <x:v>16</x:v>
      </x:c>
      <x:c r="I62" s="18" t="str">
        <x:v>30–70</x:v>
      </x:c>
      <x:c r="J62" s="14" t="str">
        <x:v>PBE/pcJ-3 或 PBE0/pcJ-2；待基准</x:v>
      </x:c>
      <x:c r="K62" s="14" t="str">
        <x:v>未运行</x:v>
      </x:c>
      <x:c r="L62" s="14" t="str">
        <x:v>螺环、七元内酯及四个氧提供多种环/溶剂组合。</x:v>
      </x:c>
    </x:row>
    <x:row r="63" ht="76" customHeight="1">
      <x:c r="A63" s="3" t="str">
        <x:v>F3_B18</x:v>
      </x:c>
      <x:c r="B63" s="3" t="str">
        <x:v>2-Oxabicyclo[3.2.1]octan-3-one (major regioisomer, ring-18O)</x:v>
      </x:c>
      <x:c r="C63" s="12" t="str">
        <x:v>DMSO-d6</x:v>
      </x:c>
      <x:c r="D63" s="13" t="n">
        <x:v>2</x:v>
      </x:c>
      <x:c r="E63" s="13" t="n">
        <x:v>1</x:v>
      </x:c>
      <x:c r="F63" s="13" t="n">
        <x:v>1</x:v>
      </x:c>
      <x:c r="G63" s="13" t="n">
        <x:v>12</x:v>
      </x:c>
      <x:c r="H63" s="9" t="n">
        <x:f>F63*G63</x:f>
        <x:v>12</x:v>
      </x:c>
      <x:c r="I63" s="11" t="str">
        <x:v>20–50</x:v>
      </x:c>
      <x:c r="J63" s="3" t="str">
        <x:v>PBE/pcJ-3 或 PBE0/pcJ-2；待基准</x:v>
      </x:c>
      <x:c r="K63" s="3" t="str">
        <x:v>未运行</x:v>
      </x:c>
      <x:c r="L63" s="3" t="str">
        <x:v>桥环相对受限，但内酯结合位点和桥环形变需要复核。</x:v>
      </x:c>
    </x:row>
    <x:row r="64" ht="76" customHeight="1">
      <x:c r="A64" s="14" t="str">
        <x:v>F3_B20</x:v>
      </x:c>
      <x:c r="B64" s="14" t="str">
        <x:v>Phthalide (ring-18O)</x:v>
      </x:c>
      <x:c r="C64" s="15" t="str">
        <x:v>DMSO-d6</x:v>
      </x:c>
      <x:c r="D64" s="16" t="n">
        <x:v>2</x:v>
      </x:c>
      <x:c r="E64" s="16" t="n">
        <x:v>1</x:v>
      </x:c>
      <x:c r="F64" s="16" t="n">
        <x:v>1</x:v>
      </x:c>
      <x:c r="G64" s="16" t="n">
        <x:v>8</x:v>
      </x:c>
      <x:c r="H64" s="17" t="n">
        <x:f>F64*G64</x:f>
        <x:v>8</x:v>
      </x:c>
      <x:c r="I64" s="18" t="str">
        <x:v>12–30</x:v>
      </x:c>
      <x:c r="J64" s="14" t="str">
        <x:v>PBE/pcJ-3 或 PBE0/pcJ-2；待基准</x:v>
      </x:c>
      <x:c r="K64" s="14" t="str">
        <x:v>未运行</x:v>
      </x:c>
      <x:c r="L64" s="14" t="str">
        <x:v>芳环稠合五元内酯较刚性，主要是局部溶剂排列。</x:v>
      </x:c>
    </x:row>
    <x:row r="65" ht="76" customHeight="1">
      <x:c r="A65" s="3" t="str">
        <x:v>F3_B21</x:v>
      </x:c>
      <x:c r="B65" s="3" t="str">
        <x:v>Br/OTBS-substituted Corey-type fused lactone (Example 70 major regioisomer, ring-18O)</x:v>
      </x:c>
      <x:c r="C65" s="12" t="str">
        <x:v>DMSO-d6</x:v>
      </x:c>
      <x:c r="D65" s="13" t="n">
        <x:v>2</x:v>
      </x:c>
      <x:c r="E65" s="13" t="n">
        <x:v>1</x:v>
      </x:c>
      <x:c r="F65" s="13" t="n">
        <x:v>1</x:v>
      </x:c>
      <x:c r="G65" s="13" t="n">
        <x:v>16</x:v>
      </x:c>
      <x:c r="H65" s="9" t="n">
        <x:f>F65*G65</x:f>
        <x:v>16</x:v>
      </x:c>
      <x:c r="I65" s="11" t="str">
        <x:v>30–70</x:v>
      </x:c>
      <x:c r="J65" s="3" t="str">
        <x:v>PBE/pcJ-3 或 PBE0/pcJ-2；待基准</x:v>
      </x:c>
      <x:c r="K65" s="3" t="str">
        <x:v>未运行</x:v>
      </x:c>
      <x:c r="L65" s="3" t="str">
        <x:v>稠合环加OTBS的体积/扭转，需兼顾内酯端和硅醚端的溶剂位置。</x:v>
      </x:c>
    </x:row>
    <x:row r="66" ht="100" customHeight="1">
      <x:c r="A66" s="14" t="str">
        <x:v>F4_D01</x:v>
      </x:c>
      <x:c r="B66" s="14" t="str">
        <x:v>[Sulfinyl-18O]modafinil</x:v>
      </x:c>
      <x:c r="C66" s="15" t="str">
        <x:v>DMSO-d6</x:v>
      </x:c>
      <x:c r="D66" s="16" t="n">
        <x:v>2</x:v>
      </x:c>
      <x:c r="E66" s="16" t="n">
        <x:v>1</x:v>
      </x:c>
      <x:c r="F66" s="16" t="n">
        <x:v>1</x:v>
      </x:c>
      <x:c r="G66" s="16" t="n">
        <x:v>24</x:v>
      </x:c>
      <x:c r="H66" s="17" t="n">
        <x:f>F66*G66</x:f>
        <x:v>24</x:v>
      </x:c>
      <x:c r="I66" s="18" t="str">
        <x:v>50–110</x:v>
      </x:c>
      <x:c r="J66" s="14" t="str">
        <x:v>PBE / pcJ-3</x:v>
      </x:c>
      <x:c r="K66" s="14" t="str">
        <x:v>未运行</x:v>
      </x:c>
      <x:c r="L66" s="14" t="str">
        <x:v>5个可旋转键、二苯甲基与酰胺/亚砜竞争氢键；药物高覆盖采样。</x:v>
      </x:c>
    </x:row>
    <x:row r="67" ht="100" customHeight="1">
      <x:c r="A67" s="3" t="str">
        <x:v>F4_D02</x:v>
      </x:c>
      <x:c r="B67" s="3" t="str">
        <x:v>[Sulfinyl-18O]albendazole sulfoxide</x:v>
      </x:c>
      <x:c r="C67" s="12" t="str">
        <x:v>DMSO-d6</x:v>
      </x:c>
      <x:c r="D67" s="13" t="n">
        <x:v>2</x:v>
      </x:c>
      <x:c r="E67" s="13" t="n">
        <x:v>1</x:v>
      </x:c>
      <x:c r="F67" s="13" t="n">
        <x:v>1</x:v>
      </x:c>
      <x:c r="G67" s="13" t="n">
        <x:v>24</x:v>
      </x:c>
      <x:c r="H67" s="9" t="n">
        <x:f>F67*G67</x:f>
        <x:v>24</x:v>
      </x:c>
      <x:c r="I67" s="11" t="str">
        <x:v>50–110</x:v>
      </x:c>
      <x:c r="J67" s="3" t="str">
        <x:v>PBE / pcJ-3</x:v>
      </x:c>
      <x:c r="K67" s="3" t="str">
        <x:v>未运行</x:v>
      </x:c>
      <x:c r="L67" s="3" t="str">
        <x:v>丙基、氨基甲酸酯及两个NH；需覆盖侧链与多重氢键布局，并检查互变异构体。</x:v>
      </x:c>
    </x:row>
    <x:row r="68" ht="100" customHeight="1">
      <x:c r="A68" s="14" t="str">
        <x:v>F4_D03</x:v>
      </x:c>
      <x:c r="B68" s="14" t="str">
        <x:v>[Sulfinyl-18O]omeprazole</x:v>
      </x:c>
      <x:c r="C68" s="15" t="str">
        <x:v>DMSO-d6</x:v>
      </x:c>
      <x:c r="D68" s="16" t="n">
        <x:v>2</x:v>
      </x:c>
      <x:c r="E68" s="16" t="n">
        <x:v>1</x:v>
      </x:c>
      <x:c r="F68" s="16" t="n">
        <x:v>1</x:v>
      </x:c>
      <x:c r="G68" s="16" t="n">
        <x:v>32</x:v>
      </x:c>
      <x:c r="H68" s="17" t="n">
        <x:f>F68*G68</x:f>
        <x:v>32</x:v>
      </x:c>
      <x:c r="I68" s="18" t="str">
        <x:v>70–150</x:v>
      </x:c>
      <x:c r="J68" s="14" t="str">
        <x:v>PBE / pcJ-3</x:v>
      </x:c>
      <x:c r="K68" s="14" t="str">
        <x:v>未运行</x:v>
      </x:c>
      <x:c r="L68" s="14" t="str">
        <x:v>两个杂环、多个甲氧基、NH及亚砜；多受体与柔性连接链采用增强预算。</x:v>
      </x:c>
    </x:row>
    <x:row r="69" ht="100" customHeight="1">
      <x:c r="A69" s="3" t="str">
        <x:v>F4_D04</x:v>
      </x:c>
      <x:c r="B69" s="3" t="str">
        <x:v>[Sulfinyl-18O]lansoprazole</x:v>
      </x:c>
      <x:c r="C69" s="12" t="str">
        <x:v>DMSO-d6</x:v>
      </x:c>
      <x:c r="D69" s="13" t="n">
        <x:v>2</x:v>
      </x:c>
      <x:c r="E69" s="13" t="n">
        <x:v>1</x:v>
      </x:c>
      <x:c r="F69" s="13" t="n">
        <x:v>1</x:v>
      </x:c>
      <x:c r="G69" s="13" t="n">
        <x:v>32</x:v>
      </x:c>
      <x:c r="H69" s="9" t="n">
        <x:f>F69*G69</x:f>
        <x:v>32</x:v>
      </x:c>
      <x:c r="I69" s="11" t="str">
        <x:v>70–150</x:v>
      </x:c>
      <x:c r="J69" s="3" t="str">
        <x:v>PBE / pcJ-3</x:v>
      </x:c>
      <x:c r="K69" s="3" t="str">
        <x:v>未运行</x:v>
      </x:c>
      <x:c r="L69" s="3" t="str">
        <x:v>杂环、柔性含氟醚链及NH/亚砜竞争氢键；同时需充分的含氟耦合构象覆盖。 建议另做溶剂敏感性对照（本轮未启用）。</x:v>
      </x:c>
    </x:row>
    <x:row r="70" ht="100" customHeight="1">
      <x:c r="A70" s="14" t="str">
        <x:v>F4_D05</x:v>
      </x:c>
      <x:c r="B70" s="14" t="str">
        <x:v>[Sulfinyl-18O]sulindac</x:v>
      </x:c>
      <x:c r="C70" s="15" t="str">
        <x:v>DMSO-d6</x:v>
      </x:c>
      <x:c r="D70" s="16" t="n">
        <x:v>2</x:v>
      </x:c>
      <x:c r="E70" s="16" t="n">
        <x:v>1</x:v>
      </x:c>
      <x:c r="F70" s="16" t="n">
        <x:v>1</x:v>
      </x:c>
      <x:c r="G70" s="16" t="n">
        <x:v>24</x:v>
      </x:c>
      <x:c r="H70" s="17" t="n">
        <x:f>F70*G70</x:f>
        <x:v>24</x:v>
      </x:c>
      <x:c r="I70" s="18" t="str">
        <x:v>50–110</x:v>
      </x:c>
      <x:c r="J70" s="14" t="str">
        <x:v>PBE / pcJ-3</x:v>
      </x:c>
      <x:c r="K70" s="14" t="str">
        <x:v>未运行</x:v>
      </x:c>
      <x:c r="L70" s="14" t="str">
        <x:v>羧酸、亚砜与芳基扭转组合；保留指定烯键几何，不混合不同几何异构体。</x:v>
      </x:c>
    </x:row>
    <x:row r="71" ht="100" customHeight="1">
      <x:c r="A71" s="3" t="str">
        <x:v>F4_D07</x:v>
      </x:c>
      <x:c r="B71" s="3" t="str">
        <x:v>[18O]imipramine N-oxide</x:v>
      </x:c>
      <x:c r="C71" s="12" t="str">
        <x:v>DMSO-d6</x:v>
      </x:c>
      <x:c r="D71" s="13" t="n">
        <x:v>2</x:v>
      </x:c>
      <x:c r="E71" s="13" t="n">
        <x:v>1</x:v>
      </x:c>
      <x:c r="F71" s="13" t="n">
        <x:v>1</x:v>
      </x:c>
      <x:c r="G71" s="13" t="n">
        <x:v>24</x:v>
      </x:c>
      <x:c r="H71" s="9" t="n">
        <x:f>F71*G71</x:f>
        <x:v>24</x:v>
      </x:c>
      <x:c r="I71" s="11" t="str">
        <x:v>50–110</x:v>
      </x:c>
      <x:c r="J71" s="3" t="str">
        <x:v>PBE / pcJ-3</x:v>
      </x:c>
      <x:c r="K71" s="3" t="str">
        <x:v>未运行</x:v>
      </x:c>
      <x:c r="L71" s="3" t="str">
        <x:v>三环柔性侧链N-氧化物；主模型暂为净中性形式，真实盐型/质子化与溶剂必须核实。 建议另做溶剂敏感性对照（本轮未启用）。</x:v>
      </x:c>
    </x:row>
    <x:row r="72" ht="46" customHeight="1">
      <x:c r="A72" s="3"/>
      <x:c r="B72" s="3"/>
      <x:c r="C72" s="3"/>
      <x:c r="D72" s="9"/>
      <x:c r="E72" s="9"/>
      <x:c r="F72" s="9"/>
      <x:c r="G72" s="9"/>
      <x:c r="H72" s="9"/>
      <x:c r="I72" s="10"/>
      <x:c r="J72" s="3"/>
      <x:c r="K72" s="3"/>
      <x:c r="L72" s="3"/>
    </x:row>
    <x:row r="73" ht="46" customHeight="1">
      <x:c r="A73" s="21" t="str">
        <x:v>产物起点合计</x:v>
      </x:c>
      <x:c r="B73" s="21"/>
      <x:c r="C73" s="21"/>
      <x:c r="D73" s="22"/>
      <x:c r="E73" s="22"/>
      <x:c r="F73" s="22"/>
      <x:c r="G73" s="22"/>
      <x:c r="H73" s="22" t="n">
        <x:f>SUM(H8:H71)</x:f>
        <x:v>1012</x:v>
      </x:c>
      <x:c r="I73" s="23"/>
      <x:c r="J73" s="21"/>
      <x:c r="K73" s="21"/>
      <x:c r="L73" s="21"/>
    </x:row>
    <x:row r="74" ht="46" customHeight="1">
      <x:c r="A74" s="21" t="str">
        <x:v>TMS参照起点</x:v>
      </x:c>
      <x:c r="B74" s="21"/>
      <x:c r="C74" s="21"/>
      <x:c r="D74" s="22"/>
      <x:c r="E74" s="22"/>
      <x:c r="F74" s="22"/>
      <x:c r="G74" s="22"/>
      <x:c r="H74" s="22" t="n">
        <x:f>'67个结构与TMS'!E74</x:f>
        <x:v>8</x:v>
      </x:c>
      <x:c r="I74" s="23"/>
      <x:c r="J74" s="21"/>
      <x:c r="K74" s="21"/>
      <x:c r="L74" s="21"/>
    </x:row>
    <x:row r="75" ht="46" customHeight="1">
      <x:c r="A75" s="21" t="str">
        <x:v>全部起点合计</x:v>
      </x:c>
      <x:c r="B75" s="21"/>
      <x:c r="C75" s="21"/>
      <x:c r="D75" s="22"/>
      <x:c r="E75" s="22"/>
      <x:c r="F75" s="22"/>
      <x:c r="G75" s="22"/>
      <x:c r="H75" s="22" t="n">
        <x:f>SUM(H73:H74)</x:f>
        <x:v>1020</x:v>
      </x:c>
      <x:c r="I75" s="23"/>
      <x:c r="J75" s="21"/>
      <x:c r="K75" s="21"/>
      <x:c r="L75" s="21"/>
    </x:row>
    <x:row r="76" ht="46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</x:sheetData>
  <x:mergeCells>
    <x:mergeCell ref="A1:L1"/>
    <x:mergeCell ref="A2:L2"/>
    <x:mergeCell ref="A3:L3"/>
    <x:mergeCell ref="A4:L4"/>
    <x:mergeCell ref="A5:L5"/>
    <x:mergeCell ref="A73:G73"/>
    <x:mergeCell ref="A74:G74"/>
    <x:mergeCell ref="A75:G75"/>
  </x:mergeCells>
  <x:pageMargins left="0.7" right="0.7" top="0.75" bottom="0.75" header="0.3" footer="0.3"/>
  <x:tableParts count="1">
    <x:tablePart xmlns:r="http://schemas.openxmlformats.org/officeDocument/2006/relationships" r:id="R2ede4a60bc79446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40" hidden="0" customWidth="1"/>
    <x:col min="2" max="2" width="16" hidden="0" customWidth="1"/>
    <x:col min="3" max="3" width="14" hidden="0" customWidth="1"/>
    <x:col min="4" max="4" width="12" hidden="0" customWidth="1"/>
    <x:col min="5" max="5" width="16" hidden="0" customWidth="1"/>
    <x:col min="6" max="6" width="18" hidden="0" customWidth="1"/>
    <x:col min="7" max="7" width="27" hidden="0" customWidth="1"/>
    <x:col min="8" max="8" width="12" hidden="0" customWidth="1"/>
    <x:col min="9" max="9" width="28" hidden="0" customWidth="1"/>
    <x:col min="10" max="10" width="80" hidden="0" customWidth="1"/>
  </x:cols>
  <x:sheetData>
    <x:row r="1" ht="46" customHeight="1">
      <x:c r="A1" s="5" t="str">
        <x:v>工作2-计算资源包-（4）｜66个产物结构分支 + TMS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7" customHeight="1">
      <x:c r="A2" s="6" t="str">
        <x:v>E11分为两个结构分支，每分支8起点；E22分为两个结构分支，每分支12起点；不同分支不跨结构混合加权。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7" customHeight="1">
      <x:c r="A3" s="6" t="str">
        <x:v>统一主模型：2 DMSO-d₆ + 1 H₂O；GOAT外围 ALPB(DMSO)，DFT外围 CPCM(DMSO)；298.15 K（待实验确认）。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27" customHeight="1">
      <x:c r="A4" s="6" t="str">
        <x:v>起点数是首轮独立GOAT任务数，不是最终构象数。每次GOAT可产生多个构象；独立构象建议范围不是配额、上限或收敛证明。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 ht="27" customHeight="1">
      <x:c r="A5" s="6" t="str">
        <x:v>来源：registry/sampling_plan_v4.json（执行计划）；本表为审核副本。水含量、结构/立体化学与实验条件仍须核实；本次未运行QM。</x:v>
      </x:c>
      <x:c r="B5" s="6"/>
      <x:c r="C5" s="6"/>
      <x:c r="D5" s="6"/>
      <x:c r="E5" s="6"/>
      <x:c r="F5" s="6"/>
      <x:c r="G5" s="6"/>
      <x:c r="H5" s="6"/>
      <x:c r="I5" s="6"/>
      <x:c r="J5" s="6"/>
    </x:row>
    <x:row r="6" ht="1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46" customHeight="1">
      <x:c r="A7" s="7" t="str">
        <x:v>结构ID</x:v>
      </x:c>
      <x:c r="B7" s="7" t="str">
        <x:v>产物编号</x:v>
      </x:c>
      <x:c r="C7" s="7" t="str">
        <x:v>DMSO-d₆ / 个</x:v>
      </x:c>
      <x:c r="D7" s="7" t="str">
        <x:v>H₂O / 个</x:v>
      </x:c>
      <x:c r="E7" s="7" t="str">
        <x:v>GOAT独立起点 / 个</x:v>
      </x:c>
      <x:c r="F7" s="7" t="str">
        <x:v>独立构象建议范围</x:v>
      </x:c>
      <x:c r="G7" s="7" t="str">
        <x:v>J耦合方法</x:v>
      </x:c>
      <x:c r="H7" s="7" t="str">
        <x:v>模型净电荷</x:v>
      </x:c>
      <x:c r="I7" s="7" t="str">
        <x:v>结构分支类型</x:v>
      </x:c>
      <x:c r="J7" s="7" t="str">
        <x:v>采样依据 / 复核事项</x:v>
      </x:c>
    </x:row>
    <x:row r="8" ht="92" customHeight="1">
      <x:c r="A8" s="14" t="str">
        <x:v>F2_E01_rep_R__DMSO</x:v>
      </x:c>
      <x:c r="B8" s="14" t="str">
        <x:v>F2_E01</x:v>
      </x:c>
      <x:c r="C8" s="16" t="n">
        <x:v>2</x:v>
      </x:c>
      <x:c r="D8" s="16" t="n">
        <x:v>1</x:v>
      </x:c>
      <x:c r="E8" s="16" t="n">
        <x:v>8</x:v>
      </x:c>
      <x:c r="F8" s="18" t="str">
        <x:v>12–30</x:v>
      </x:c>
      <x:c r="G8" s="14" t="str">
        <x:v>PBE/pcJ-3 或 PBE0/pcJ-2；待基准</x:v>
      </x:c>
      <x:c r="H8" s="25" t="n">
        <x:v>0</x:v>
      </x:c>
      <x:c r="I8" s="14" t="str">
        <x:v>建模代表构型；非实验R构型指认</x:v>
      </x:c>
      <x:c r="J8" s="14" t="str">
        <x:v>苯乙烯环氧化物较刚性；采样重点为环氧氧周围不同溶剂取向。 </x:v>
      </x:c>
    </x:row>
    <x:row r="9" ht="92" customHeight="1">
      <x:c r="A9" s="3" t="str">
        <x:v>F2_E03_rep_R__DMSO</x:v>
      </x:c>
      <x:c r="B9" s="3" t="str">
        <x:v>F2_E03</x:v>
      </x:c>
      <x:c r="C9" s="13" t="n">
        <x:v>2</x:v>
      </x:c>
      <x:c r="D9" s="13" t="n">
        <x:v>1</x:v>
      </x:c>
      <x:c r="E9" s="13" t="n">
        <x:v>8</x:v>
      </x:c>
      <x:c r="F9" s="11" t="str">
        <x:v>12–30</x:v>
      </x:c>
      <x:c r="G9" s="3" t="str">
        <x:v>PBE/pcJ-3 或 PBE0/pcJ-2；待基准</x:v>
      </x:c>
      <x:c r="H9" s="24" t="n">
        <x:v>0</x:v>
      </x:c>
      <x:c r="I9" s="3" t="str">
        <x:v>建模代表构型；非实验R构型指认</x:v>
      </x:c>
      <x:c r="J9" s="3" t="str">
        <x:v>对氯取代不增加主骨架自由度；保留环氧端与芳环面的溶剂起点。 </x:v>
      </x:c>
    </x:row>
    <x:row r="10" ht="92" customHeight="1">
      <x:c r="A10" s="14" t="str">
        <x:v>F2_E05_rep_R__DMSO</x:v>
      </x:c>
      <x:c r="B10" s="14" t="str">
        <x:v>F2_E05</x:v>
      </x:c>
      <x:c r="C10" s="16" t="n">
        <x:v>2</x:v>
      </x:c>
      <x:c r="D10" s="16" t="n">
        <x:v>1</x:v>
      </x:c>
      <x:c r="E10" s="16" t="n">
        <x:v>12</x:v>
      </x:c>
      <x:c r="F10" s="18" t="str">
        <x:v>20–50</x:v>
      </x:c>
      <x:c r="G10" s="14" t="str">
        <x:v>PBE/pcJ-3 或 PBE0/pcJ-2；待基准</x:v>
      </x:c>
      <x:c r="H10" s="25" t="n">
        <x:v>0</x:v>
      </x:c>
      <x:c r="I10" s="14" t="str">
        <x:v>建模代表构型；非实验R构型指认</x:v>
      </x:c>
      <x:c r="J10" s="14" t="str">
        <x:v>腈基和环氧氧提供不同水结合位置，较单一环氧化物增加起点。 </x:v>
      </x:c>
    </x:row>
    <x:row r="11" ht="92" customHeight="1">
      <x:c r="A11" s="3" t="str">
        <x:v>F2_E09_rep_R__DMSO</x:v>
      </x:c>
      <x:c r="B11" s="3" t="str">
        <x:v>F2_E09</x:v>
      </x:c>
      <x:c r="C11" s="13" t="n">
        <x:v>2</x:v>
      </x:c>
      <x:c r="D11" s="13" t="n">
        <x:v>1</x:v>
      </x:c>
      <x:c r="E11" s="13" t="n">
        <x:v>16</x:v>
      </x:c>
      <x:c r="F11" s="11" t="str">
        <x:v>30–70</x:v>
      </x:c>
      <x:c r="G11" s="3" t="str">
        <x:v>PBE/pcJ-3 或 PBE0/pcJ-2；待基准</x:v>
      </x:c>
      <x:c r="H11" s="24" t="n">
        <x:v>0</x:v>
      </x:c>
      <x:c r="I11" s="3" t="str">
        <x:v>建模代表构型；非实验R构型指认</x:v>
      </x:c>
      <x:c r="J11" s="3" t="str">
        <x:v>正己基链有5个可旋转键；需要链构象与环氧端溶剂布置的交叉采样。 </x:v>
      </x:c>
    </x:row>
    <x:row r="12" ht="92" customHeight="1">
      <x:c r="A12" s="14" t="str">
        <x:v>F2_E11_endo__DMSO</x:v>
      </x:c>
      <x:c r="B12" s="14" t="str">
        <x:v>F2_E11</x:v>
      </x:c>
      <x:c r="C12" s="16" t="n">
        <x:v>2</x:v>
      </x:c>
      <x:c r="D12" s="16" t="n">
        <x:v>1</x:v>
      </x:c>
      <x:c r="E12" s="16" t="n">
        <x:v>8</x:v>
      </x:c>
      <x:c r="F12" s="18" t="str">
        <x:v>12–30</x:v>
      </x:c>
      <x:c r="G12" s="14" t="str">
        <x:v>PBE/pcJ-3 或 PBE0/pcJ-2；待基准</x:v>
      </x:c>
      <x:c r="H12" s="25" t="n">
        <x:v>0</x:v>
      </x:c>
      <x:c r="I12" s="14" t="str">
        <x:v>几何筛选分支；非新增实验构型</x:v>
      </x:c>
      <x:c r="J12" s="14" t="str">
        <x:v>桥环骨架较刚性；endo/exo分别各8个起点，不互相混合。 非对映分支分别计算；无实验比例不得混合加权。</x:v>
      </x:c>
    </x:row>
    <x:row r="13" ht="92" customHeight="1">
      <x:c r="A13" s="3" t="str">
        <x:v>F2_E11_exo__DMSO</x:v>
      </x:c>
      <x:c r="B13" s="3" t="str">
        <x:v>F2_E11</x:v>
      </x:c>
      <x:c r="C13" s="13" t="n">
        <x:v>2</x:v>
      </x:c>
      <x:c r="D13" s="13" t="n">
        <x:v>1</x:v>
      </x:c>
      <x:c r="E13" s="13" t="n">
        <x:v>8</x:v>
      </x:c>
      <x:c r="F13" s="11" t="str">
        <x:v>12–30</x:v>
      </x:c>
      <x:c r="G13" s="3" t="str">
        <x:v>PBE/pcJ-3 或 PBE0/pcJ-2；待基准</x:v>
      </x:c>
      <x:c r="H13" s="24" t="n">
        <x:v>0</x:v>
      </x:c>
      <x:c r="I13" s="3" t="str">
        <x:v>几何筛选分支；非新增实验构型</x:v>
      </x:c>
      <x:c r="J13" s="3" t="str">
        <x:v>桥环骨架较刚性；endo/exo分别各8个起点，不互相混合。 非对映分支分别计算；无实验比例不得混合加权。</x:v>
      </x:c>
    </x:row>
    <x:row r="14" ht="92" customHeight="1">
      <x:c r="A14" s="14" t="str">
        <x:v>F2_E13_cis__DMSO</x:v>
      </x:c>
      <x:c r="B14" s="14" t="str">
        <x:v>F2_E13</x:v>
      </x:c>
      <x:c r="C14" s="16" t="n">
        <x:v>2</x:v>
      </x:c>
      <x:c r="D14" s="16" t="n">
        <x:v>1</x:v>
      </x:c>
      <x:c r="E14" s="16" t="n">
        <x:v>16</x:v>
      </x:c>
      <x:c r="F14" s="18" t="str">
        <x:v>30–70</x:v>
      </x:c>
      <x:c r="G14" s="14" t="str">
        <x:v>PBE/pcJ-3 或 PBE0/pcJ-2；待基准</x:v>
      </x:c>
      <x:c r="H14" s="25" t="n">
        <x:v>0</x:v>
      </x:c>
      <x:c r="I14" s="14" t="str">
        <x:v>按来源选择cis建模目标</x:v>
      </x:c>
      <x:c r="J14" s="14" t="str">
        <x:v>八元环有明显环构象自由度；不能因RDKit可旋转键为0而少采样。 </x:v>
      </x:c>
    </x:row>
    <x:row r="15" ht="92" customHeight="1">
      <x:c r="A15" s="3" t="str">
        <x:v>F2_E12_rep_R__DMSO</x:v>
      </x:c>
      <x:c r="B15" s="3" t="str">
        <x:v>F2_E12</x:v>
      </x:c>
      <x:c r="C15" s="13" t="n">
        <x:v>2</x:v>
      </x:c>
      <x:c r="D15" s="13" t="n">
        <x:v>1</x:v>
      </x:c>
      <x:c r="E15" s="13" t="n">
        <x:v>12</x:v>
      </x:c>
      <x:c r="F15" s="11" t="str">
        <x:v>20–50</x:v>
      </x:c>
      <x:c r="G15" s="3" t="str">
        <x:v>PBE/pcJ-3 或 PBE0/pcJ-2；待基准</x:v>
      </x:c>
      <x:c r="H15" s="24" t="n">
        <x:v>0</x:v>
      </x:c>
      <x:c r="I15" s="3" t="str">
        <x:v>建模代表构型；非实验R构型指认</x:v>
      </x:c>
      <x:c r="J15" s="3" t="str">
        <x:v>羟基和环氧氧存在竞争氢键及水桥；增加局部溶剂布局。 </x:v>
      </x:c>
    </x:row>
    <x:row r="16" ht="92" customHeight="1">
      <x:c r="A16" s="14" t="str">
        <x:v>F2_E14_source__DMSO</x:v>
      </x:c>
      <x:c r="B16" s="14" t="str">
        <x:v>F2_E14</x:v>
      </x:c>
      <x:c r="C16" s="16" t="n">
        <x:v>2</x:v>
      </x:c>
      <x:c r="D16" s="16" t="n">
        <x:v>1</x:v>
      </x:c>
      <x:c r="E16" s="16" t="n">
        <x:v>16</x:v>
      </x:c>
      <x:c r="F16" s="18" t="str">
        <x:v>30–70</x:v>
      </x:c>
      <x:c r="G16" s="14" t="str">
        <x:v>PBE/pcJ-3 或 PBE0/pcJ-2；待基准</x:v>
      </x:c>
      <x:c r="H16" s="25" t="n">
        <x:v>0</x:v>
      </x:c>
      <x:c r="I16" s="14" t="str">
        <x:v>按来源明确的连接结构</x:v>
      </x:c>
      <x:c r="J16" s="14" t="str">
        <x:v>丙基侧链、羟甲基和双氧受体形成多个构象/氢键组合。 </x:v>
      </x:c>
    </x:row>
    <x:row r="17" ht="92" customHeight="1">
      <x:c r="A17" s="3" t="str">
        <x:v>F2_E15_source__DMSO</x:v>
      </x:c>
      <x:c r="B17" s="3" t="str">
        <x:v>F2_E15</x:v>
      </x:c>
      <x:c r="C17" s="13" t="n">
        <x:v>2</x:v>
      </x:c>
      <x:c r="D17" s="13" t="n">
        <x:v>1</x:v>
      </x:c>
      <x:c r="E17" s="13" t="n">
        <x:v>16</x:v>
      </x:c>
      <x:c r="F17" s="11" t="str">
        <x:v>30–70</x:v>
      </x:c>
      <x:c r="G17" s="3" t="str">
        <x:v>PBE/pcJ-3 或 PBE0/pcJ-2；待基准</x:v>
      </x:c>
      <x:c r="H17" s="24" t="n">
        <x:v>0</x:v>
      </x:c>
      <x:c r="I17" s="3" t="str">
        <x:v>按来源明确的连接结构</x:v>
      </x:c>
      <x:c r="J17" s="3" t="str">
        <x:v>苯基取向、羟甲基与环氧氧可竞争溶剂结合。 </x:v>
      </x:c>
    </x:row>
    <x:row r="18" ht="92" customHeight="1">
      <x:c r="A18" s="14" t="str">
        <x:v>F2_E17_source__DMSO</x:v>
      </x:c>
      <x:c r="B18" s="14" t="str">
        <x:v>F2_E17</x:v>
      </x:c>
      <x:c r="C18" s="16" t="n">
        <x:v>2</x:v>
      </x:c>
      <x:c r="D18" s="16" t="n">
        <x:v>1</x:v>
      </x:c>
      <x:c r="E18" s="16" t="n">
        <x:v>24</x:v>
      </x:c>
      <x:c r="F18" s="18" t="str">
        <x:v>50–110</x:v>
      </x:c>
      <x:c r="G18" s="14" t="str">
        <x:v>PBE/pcJ-3 或 PBE0/pcJ-2；待基准</x:v>
      </x:c>
      <x:c r="H18" s="25" t="n">
        <x:v>0</x:v>
      </x:c>
      <x:c r="I18" s="14" t="str">
        <x:v>按来源明确的连接结构</x:v>
      </x:c>
      <x:c r="J18" s="14" t="str">
        <x:v>柔性萜烯侧链与羟甲基并存；需要折叠/伸展和不同氢键构型。 </x:v>
      </x:c>
    </x:row>
    <x:row r="19" ht="92" customHeight="1">
      <x:c r="A19" s="3" t="str">
        <x:v>F2_E19_source__DMSO</x:v>
      </x:c>
      <x:c r="B19" s="3" t="str">
        <x:v>F2_E19</x:v>
      </x:c>
      <x:c r="C19" s="13" t="n">
        <x:v>2</x:v>
      </x:c>
      <x:c r="D19" s="13" t="n">
        <x:v>1</x:v>
      </x:c>
      <x:c r="E19" s="13" t="n">
        <x:v>16</x:v>
      </x:c>
      <x:c r="F19" s="11" t="str">
        <x:v>30–70</x:v>
      </x:c>
      <x:c r="G19" s="3" t="str">
        <x:v>PBE/pcJ-3 或 PBE0/pcJ-2；待基准</x:v>
      </x:c>
      <x:c r="H19" s="24" t="n">
        <x:v>0</x:v>
      </x:c>
      <x:c r="I19" s="3" t="str">
        <x:v>按来源明确的连接结构</x:v>
      </x:c>
      <x:c r="J19" s="3" t="str">
        <x:v>环己烷椅式及羟基/环氧端取向均需覆盖。 </x:v>
      </x:c>
    </x:row>
    <x:row r="20" ht="92" customHeight="1">
      <x:c r="A20" s="14" t="str">
        <x:v>F2_E21_source__DMSO</x:v>
      </x:c>
      <x:c r="B20" s="14" t="str">
        <x:v>F2_E21</x:v>
      </x:c>
      <x:c r="C20" s="16" t="n">
        <x:v>2</x:v>
      </x:c>
      <x:c r="D20" s="16" t="n">
        <x:v>1</x:v>
      </x:c>
      <x:c r="E20" s="16" t="n">
        <x:v>16</x:v>
      </x:c>
      <x:c r="F20" s="18" t="str">
        <x:v>30–70</x:v>
      </x:c>
      <x:c r="G20" s="14" t="str">
        <x:v>PBE/pcJ-3 或 PBE0/pcJ-2；待基准</x:v>
      </x:c>
      <x:c r="H20" s="25" t="n">
        <x:v>0</x:v>
      </x:c>
      <x:c r="I20" s="14" t="str">
        <x:v>按来源明确的连接结构</x:v>
      </x:c>
      <x:c r="J20" s="14" t="str">
        <x:v>稠合环构象加羟乙基侧链；重点比较溶剂桥与独立结合。 </x:v>
      </x:c>
    </x:row>
    <x:row r="21" ht="92" customHeight="1">
      <x:c r="A21" s="3" t="str">
        <x:v>F2_E22_face_1__DMSO</x:v>
      </x:c>
      <x:c r="B21" s="3" t="str">
        <x:v>F2_E22</x:v>
      </x:c>
      <x:c r="C21" s="13" t="n">
        <x:v>2</x:v>
      </x:c>
      <x:c r="D21" s="13" t="n">
        <x:v>1</x:v>
      </x:c>
      <x:c r="E21" s="13" t="n">
        <x:v>12</x:v>
      </x:c>
      <x:c r="F21" s="11" t="str">
        <x:v>20–50</x:v>
      </x:c>
      <x:c r="G21" s="3" t="str">
        <x:v>PBE/pcJ-3 或 PBE0/pcJ-2；待基准</x:v>
      </x:c>
      <x:c r="H21" s="24" t="n">
        <x:v>0</x:v>
      </x:c>
      <x:c r="I21" s="3" t="str">
        <x:v>未指认环氧化面的非对映分支</x:v>
      </x:c>
      <x:c r="J21" s="3" t="str">
        <x:v>环酮、环氧氧和环构象均需采样；两个面异构模型各12个独立起点。 非对映分支分别计算；无实验比例不得混合加权。</x:v>
      </x:c>
    </x:row>
    <x:row r="22" ht="92" customHeight="1">
      <x:c r="A22" s="14" t="str">
        <x:v>F2_E22_face_2__DMSO</x:v>
      </x:c>
      <x:c r="B22" s="14" t="str">
        <x:v>F2_E22</x:v>
      </x:c>
      <x:c r="C22" s="16" t="n">
        <x:v>2</x:v>
      </x:c>
      <x:c r="D22" s="16" t="n">
        <x:v>1</x:v>
      </x:c>
      <x:c r="E22" s="16" t="n">
        <x:v>12</x:v>
      </x:c>
      <x:c r="F22" s="18" t="str">
        <x:v>20–50</x:v>
      </x:c>
      <x:c r="G22" s="14" t="str">
        <x:v>PBE/pcJ-3 或 PBE0/pcJ-2；待基准</x:v>
      </x:c>
      <x:c r="H22" s="25" t="n">
        <x:v>0</x:v>
      </x:c>
      <x:c r="I22" s="14" t="str">
        <x:v>未指认环氧化面的非对映分支</x:v>
      </x:c>
      <x:c r="J22" s="14" t="str">
        <x:v>环酮、环氧氧和环构象均需采样；两个面异构模型各12个独立起点。 非对映分支分别计算；无实验比例不得混合加权。</x:v>
      </x:c>
    </x:row>
    <x:row r="23" ht="92" customHeight="1">
      <x:c r="A23" s="3" t="str">
        <x:v>F2_E23_trans_rep__DMSO</x:v>
      </x:c>
      <x:c r="B23" s="3" t="str">
        <x:v>F2_E23</x:v>
      </x:c>
      <x:c r="C23" s="13" t="n">
        <x:v>2</x:v>
      </x:c>
      <x:c r="D23" s="13" t="n">
        <x:v>1</x:v>
      </x:c>
      <x:c r="E23" s="13" t="n">
        <x:v>16</x:v>
      </x:c>
      <x:c r="F23" s="11" t="str">
        <x:v>30–70</x:v>
      </x:c>
      <x:c r="G23" s="3" t="str">
        <x:v>PBE/pcJ-3 或 PBE0/pcJ-2；待基准</x:v>
      </x:c>
      <x:c r="H23" s="24" t="n">
        <x:v>0</x:v>
      </x:c>
      <x:c r="I23" s="3" t="str">
        <x:v>来源指导trans代表；非ee指认</x:v>
      </x:c>
      <x:c r="J23" s="3" t="str">
        <x:v>两个苯基取向、羰基和环氧端组合较多。 </x:v>
      </x:c>
    </x:row>
    <x:row r="24" ht="92" customHeight="1">
      <x:c r="A24" s="14" t="str">
        <x:v>F2_E24_cis_fused_rep__DMSO</x:v>
      </x:c>
      <x:c r="B24" s="14" t="str">
        <x:v>F2_E24</x:v>
      </x:c>
      <x:c r="C24" s="16" t="n">
        <x:v>2</x:v>
      </x:c>
      <x:c r="D24" s="16" t="n">
        <x:v>1</x:v>
      </x:c>
      <x:c r="E24" s="16" t="n">
        <x:v>12</x:v>
      </x:c>
      <x:c r="F24" s="18" t="str">
        <x:v>20–50</x:v>
      </x:c>
      <x:c r="G24" s="14" t="str">
        <x:v>PBE/pcJ-3 或 PBE0/pcJ-2；待基准</x:v>
      </x:c>
      <x:c r="H24" s="25" t="n">
        <x:v>0</x:v>
      </x:c>
      <x:c r="I24" s="14" t="str">
        <x:v>来源消旋稠合环氧化物的代表</x:v>
      </x:c>
      <x:c r="J24" s="14" t="str">
        <x:v>稠环较刚性，但两个羰基与环氧氧提供三个主要受体区域。 </x:v>
      </x:c>
    </x:row>
    <x:row r="25" ht="92" customHeight="1">
      <x:c r="A25" s="3" t="str">
        <x:v>F2_E18_source__DMSO</x:v>
      </x:c>
      <x:c r="B25" s="3" t="str">
        <x:v>F2_E18</x:v>
      </x:c>
      <x:c r="C25" s="13" t="n">
        <x:v>2</x:v>
      </x:c>
      <x:c r="D25" s="13" t="n">
        <x:v>1</x:v>
      </x:c>
      <x:c r="E25" s="13" t="n">
        <x:v>32</x:v>
      </x:c>
      <x:c r="F25" s="11" t="str">
        <x:v>70–150</x:v>
      </x:c>
      <x:c r="G25" s="3" t="str">
        <x:v>PBE/pcJ-3 或 PBE0/pcJ-2；待基准</x:v>
      </x:c>
      <x:c r="H25" s="24" t="n">
        <x:v>0</x:v>
      </x:c>
      <x:c r="I25" s="3" t="str">
        <x:v>按来源明确的连接结构</x:v>
      </x:c>
      <x:c r="J25" s="3" t="str">
        <x:v>9个可旋转键、长多烯链、酯和醇；本组最高柔性层级。 </x:v>
      </x:c>
    </x:row>
    <x:row r="26" ht="92" customHeight="1">
      <x:c r="A26" s="14" t="str">
        <x:v>F2_E20_source__DMSO</x:v>
      </x:c>
      <x:c r="B26" s="14" t="str">
        <x:v>F2_E20</x:v>
      </x:c>
      <x:c r="C26" s="16" t="n">
        <x:v>2</x:v>
      </x:c>
      <x:c r="D26" s="16" t="n">
        <x:v>1</x:v>
      </x:c>
      <x:c r="E26" s="16" t="n">
        <x:v>32</x:v>
      </x:c>
      <x:c r="F26" s="18" t="str">
        <x:v>70–150</x:v>
      </x:c>
      <x:c r="G26" s="14" t="str">
        <x:v>PBE/pcJ-3 或 PBE0/pcJ-2；待基准</x:v>
      </x:c>
      <x:c r="H26" s="25" t="n">
        <x:v>0</x:v>
      </x:c>
      <x:c r="I26" s="14" t="str">
        <x:v>按来源明确的连接结构</x:v>
      </x:c>
      <x:c r="J26" s="14" t="str">
        <x:v>8个可旋转键及两个羟基；链折叠和内/外氢键竞争显著。 </x:v>
      </x:c>
    </x:row>
    <x:row r="27" ht="92" customHeight="1">
      <x:c r="A27" s="3" t="str">
        <x:v>F2_S01_rep_R__DMSO</x:v>
      </x:c>
      <x:c r="B27" s="3" t="str">
        <x:v>F2_S01</x:v>
      </x:c>
      <x:c r="C27" s="13" t="n">
        <x:v>2</x:v>
      </x:c>
      <x:c r="D27" s="13" t="n">
        <x:v>1</x:v>
      </x:c>
      <x:c r="E27" s="13" t="n">
        <x:v>8</x:v>
      </x:c>
      <x:c r="F27" s="11" t="str">
        <x:v>12–30</x:v>
      </x:c>
      <x:c r="G27" s="3" t="str">
        <x:v>PBE/pcJ-3 或 PBE0/pcJ-2；待基准</x:v>
      </x:c>
      <x:c r="H27" s="24" t="n">
        <x:v>0</x:v>
      </x:c>
      <x:c r="I27" s="3" t="str">
        <x:v>建模代表构型；非实验R构型指认</x:v>
      </x:c>
      <x:c r="J27" s="3" t="str">
        <x:v>单芳基亚砜主骨架简单；重点覆盖S=O周围不同氢键取向。 </x:v>
      </x:c>
    </x:row>
    <x:row r="28" ht="92" customHeight="1">
      <x:c r="A28" s="14" t="str">
        <x:v>F2_S06_source__DMSO</x:v>
      </x:c>
      <x:c r="B28" s="14" t="str">
        <x:v>F2_S06</x:v>
      </x:c>
      <x:c r="C28" s="16" t="n">
        <x:v>2</x:v>
      </x:c>
      <x:c r="D28" s="16" t="n">
        <x:v>1</x:v>
      </x:c>
      <x:c r="E28" s="16" t="n">
        <x:v>12</x:v>
      </x:c>
      <x:c r="F28" s="18" t="str">
        <x:v>20–50</x:v>
      </x:c>
      <x:c r="G28" s="14" t="str">
        <x:v>PBE/pcJ-3 或 PBE0/pcJ-2；待基准</x:v>
      </x:c>
      <x:c r="H28" s="25" t="n">
        <x:v>0</x:v>
      </x:c>
      <x:c r="I28" s="14" t="str">
        <x:v>按来源明确的连接结构</x:v>
      </x:c>
      <x:c r="J28" s="14" t="str">
        <x:v>两个苯基绕硫旋转和S=O暴露面的组合。 </x:v>
      </x:c>
    </x:row>
    <x:row r="29" ht="92" customHeight="1">
      <x:c r="A29" s="3" t="str">
        <x:v>F2_S07_rep_R__DMSO</x:v>
      </x:c>
      <x:c r="B29" s="3" t="str">
        <x:v>F2_S07</x:v>
      </x:c>
      <x:c r="C29" s="13" t="n">
        <x:v>2</x:v>
      </x:c>
      <x:c r="D29" s="13" t="n">
        <x:v>1</x:v>
      </x:c>
      <x:c r="E29" s="13" t="n">
        <x:v>12</x:v>
      </x:c>
      <x:c r="F29" s="11" t="str">
        <x:v>20–50</x:v>
      </x:c>
      <x:c r="G29" s="3" t="str">
        <x:v>PBE/pcJ-3 或 PBE0/pcJ-2；待基准</x:v>
      </x:c>
      <x:c r="H29" s="24" t="n">
        <x:v>0</x:v>
      </x:c>
      <x:c r="I29" s="3" t="str">
        <x:v>建模代表构型；非实验R构型指认</x:v>
      </x:c>
      <x:c r="J29" s="3" t="str">
        <x:v>苄基引入额外扭转；溶剂结合与苯环取向共同采样。 </x:v>
      </x:c>
    </x:row>
    <x:row r="30" ht="92" customHeight="1">
      <x:c r="A30" s="14" t="str">
        <x:v>F2_S19_rep_R__DMSO</x:v>
      </x:c>
      <x:c r="B30" s="14" t="str">
        <x:v>F2_S19</x:v>
      </x:c>
      <x:c r="C30" s="16" t="n">
        <x:v>2</x:v>
      </x:c>
      <x:c r="D30" s="16" t="n">
        <x:v>1</x:v>
      </x:c>
      <x:c r="E30" s="16" t="n">
        <x:v>12</x:v>
      </x:c>
      <x:c r="F30" s="18" t="str">
        <x:v>20–50</x:v>
      </x:c>
      <x:c r="G30" s="14" t="str">
        <x:v>PBE/pcJ-3 或 PBE0/pcJ-2；待基准</x:v>
      </x:c>
      <x:c r="H30" s="25" t="n">
        <x:v>0</x:v>
      </x:c>
      <x:c r="I30" s="14" t="str">
        <x:v>建模代表构型；非实验R构型指认</x:v>
      </x:c>
      <x:c r="J30" s="14" t="str">
        <x:v>硝基与亚砜氧构成不同溶剂结合区域。 </x:v>
      </x:c>
    </x:row>
    <x:row r="31" ht="92" customHeight="1">
      <x:c r="A31" s="3" t="str">
        <x:v>F2_S22_rep_R__DMSO</x:v>
      </x:c>
      <x:c r="B31" s="3" t="str">
        <x:v>F2_S22</x:v>
      </x:c>
      <x:c r="C31" s="13" t="n">
        <x:v>2</x:v>
      </x:c>
      <x:c r="D31" s="13" t="n">
        <x:v>1</x:v>
      </x:c>
      <x:c r="E31" s="13" t="n">
        <x:v>12</x:v>
      </x:c>
      <x:c r="F31" s="11" t="str">
        <x:v>20–50</x:v>
      </x:c>
      <x:c r="G31" s="3" t="str">
        <x:v>PBE/pcJ-3 或 PBE0/pcJ-2；待基准</x:v>
      </x:c>
      <x:c r="H31" s="24" t="n">
        <x:v>0</x:v>
      </x:c>
      <x:c r="I31" s="3" t="str">
        <x:v>建模代表构型；非实验R构型指认</x:v>
      </x:c>
      <x:c r="J31" s="3" t="str">
        <x:v>环丙基/芳基相对取向及S=O配位面需要分别覆盖。 </x:v>
      </x:c>
    </x:row>
    <x:row r="32" ht="92" customHeight="1">
      <x:c r="A32" s="14" t="str">
        <x:v>F2_S23_rep_R__DMSO</x:v>
      </x:c>
      <x:c r="B32" s="14" t="str">
        <x:v>F2_S23</x:v>
      </x:c>
      <x:c r="C32" s="16" t="n">
        <x:v>2</x:v>
      </x:c>
      <x:c r="D32" s="16" t="n">
        <x:v>1</x:v>
      </x:c>
      <x:c r="E32" s="16" t="n">
        <x:v>12</x:v>
      </x:c>
      <x:c r="F32" s="18" t="str">
        <x:v>20–50</x:v>
      </x:c>
      <x:c r="G32" s="14" t="str">
        <x:v>PBE/pcJ-3 或 PBE0/pcJ-2；待基准</x:v>
      </x:c>
      <x:c r="H32" s="25" t="n">
        <x:v>0</x:v>
      </x:c>
      <x:c r="I32" s="14" t="str">
        <x:v>建模代表构型；非实验R构型指认</x:v>
      </x:c>
      <x:c r="J32" s="14" t="str">
        <x:v>乙烯基/芳基亚砜扭转与溶剂取向需要交叉采样。 </x:v>
      </x:c>
    </x:row>
    <x:row r="33" ht="92" customHeight="1">
      <x:c r="A33" s="3" t="str">
        <x:v>F2_S12_source__DMSO</x:v>
      </x:c>
      <x:c r="B33" s="3" t="str">
        <x:v>F2_S12</x:v>
      </x:c>
      <x:c r="C33" s="13" t="n">
        <x:v>2</x:v>
      </x:c>
      <x:c r="D33" s="13" t="n">
        <x:v>1</x:v>
      </x:c>
      <x:c r="E33" s="13" t="n">
        <x:v>24</x:v>
      </x:c>
      <x:c r="F33" s="11" t="str">
        <x:v>50–110</x:v>
      </x:c>
      <x:c r="G33" s="3" t="str">
        <x:v>PBE/pcJ-3 或 PBE0/pcJ-2；待基准</x:v>
      </x:c>
      <x:c r="H33" s="24" t="n">
        <x:v>0</x:v>
      </x:c>
      <x:c r="I33" s="3" t="str">
        <x:v>按来源明确的连接结构</x:v>
      </x:c>
      <x:c r="J33" s="3" t="str">
        <x:v>两条丁基链共6个可旋转键，且砜有两个受体氧。 </x:v>
      </x:c>
    </x:row>
    <x:row r="34" ht="92" customHeight="1">
      <x:c r="A34" s="14" t="str">
        <x:v>F2_S24_source__DMSO</x:v>
      </x:c>
      <x:c r="B34" s="14" t="str">
        <x:v>F2_S24</x:v>
      </x:c>
      <x:c r="C34" s="16" t="n">
        <x:v>2</x:v>
      </x:c>
      <x:c r="D34" s="16" t="n">
        <x:v>1</x:v>
      </x:c>
      <x:c r="E34" s="16" t="n">
        <x:v>16</x:v>
      </x:c>
      <x:c r="F34" s="18" t="str">
        <x:v>30–70</x:v>
      </x:c>
      <x:c r="G34" s="14" t="str">
        <x:v>PBE/pcJ-3 或 PBE0/pcJ-2；待基准</x:v>
      </x:c>
      <x:c r="H34" s="25" t="n">
        <x:v>0</x:v>
      </x:c>
      <x:c r="I34" s="14" t="str">
        <x:v>按来源明确的连接结构</x:v>
      </x:c>
      <x:c r="J34" s="14" t="str">
        <x:v>烯丙基链、芳基扭转及两个砜氧结合位置并存。 </x:v>
      </x:c>
    </x:row>
    <x:row r="35" ht="92" customHeight="1">
      <x:c r="A35" s="3" t="str">
        <x:v>F2_S25_source__DMSO</x:v>
      </x:c>
      <x:c r="B35" s="3" t="str">
        <x:v>F2_S25</x:v>
      </x:c>
      <x:c r="C35" s="13" t="n">
        <x:v>2</x:v>
      </x:c>
      <x:c r="D35" s="13" t="n">
        <x:v>1</x:v>
      </x:c>
      <x:c r="E35" s="13" t="n">
        <x:v>16</x:v>
      </x:c>
      <x:c r="F35" s="11" t="str">
        <x:v>30–70</x:v>
      </x:c>
      <x:c r="G35" s="3" t="str">
        <x:v>PBE/pcJ-3 或 PBE0/pcJ-2；待基准</x:v>
      </x:c>
      <x:c r="H35" s="24" t="n">
        <x:v>0</x:v>
      </x:c>
      <x:c r="I35" s="3" t="str">
        <x:v>按来源明确的连接结构</x:v>
      </x:c>
      <x:c r="J35" s="3" t="str">
        <x:v>羟乙基与砜氧可形成内氢键或水桥；需覆盖竞争模式。 </x:v>
      </x:c>
    </x:row>
    <x:row r="36" ht="92" customHeight="1">
      <x:c r="A36" s="14" t="str">
        <x:v>F2_S11_source__DMSO</x:v>
      </x:c>
      <x:c r="B36" s="14" t="str">
        <x:v>F2_S11</x:v>
      </x:c>
      <x:c r="C36" s="16" t="n">
        <x:v>2</x:v>
      </x:c>
      <x:c r="D36" s="16" t="n">
        <x:v>1</x:v>
      </x:c>
      <x:c r="E36" s="16" t="n">
        <x:v>8</x:v>
      </x:c>
      <x:c r="F36" s="18" t="str">
        <x:v>12–30</x:v>
      </x:c>
      <x:c r="G36" s="14" t="str">
        <x:v>PBE/pcJ-3 或 PBE0/pcJ-2；待基准</x:v>
      </x:c>
      <x:c r="H36" s="25" t="n">
        <x:v>0</x:v>
      </x:c>
      <x:c r="I36" s="14" t="str">
        <x:v>按来源明确的连接结构</x:v>
      </x:c>
      <x:c r="J36" s="14" t="str">
        <x:v>稠合芳香骨架刚性，主要变化为两个砜氧的溶剂位置。 </x:v>
      </x:c>
    </x:row>
    <x:row r="37" ht="92" customHeight="1">
      <x:c r="A37" s="3" t="str">
        <x:v>F2_S26_source__DMSO</x:v>
      </x:c>
      <x:c r="B37" s="3" t="str">
        <x:v>F2_S26</x:v>
      </x:c>
      <x:c r="C37" s="13" t="n">
        <x:v>2</x:v>
      </x:c>
      <x:c r="D37" s="13" t="n">
        <x:v>1</x:v>
      </x:c>
      <x:c r="E37" s="13" t="n">
        <x:v>12</x:v>
      </x:c>
      <x:c r="F37" s="11" t="str">
        <x:v>20–50</x:v>
      </x:c>
      <x:c r="G37" s="3" t="str">
        <x:v>PBE/pcJ-3 或 PBE0/pcJ-2；待基准</x:v>
      </x:c>
      <x:c r="H37" s="24" t="n">
        <x:v>0</x:v>
      </x:c>
      <x:c r="I37" s="3" t="str">
        <x:v>按来源明确的连接结构</x:v>
      </x:c>
      <x:c r="J37" s="3" t="str">
        <x:v>噻蒽中心环有折叠自由度；不能仅依据0个可旋转键判为完全刚性。 </x:v>
      </x:c>
    </x:row>
    <x:row r="38" ht="92" customHeight="1">
      <x:c r="A38" s="14" t="str">
        <x:v>F2_S27_source__DMSO</x:v>
      </x:c>
      <x:c r="B38" s="14" t="str">
        <x:v>F2_S27</x:v>
      </x:c>
      <x:c r="C38" s="16" t="n">
        <x:v>2</x:v>
      </x:c>
      <x:c r="D38" s="16" t="n">
        <x:v>1</x:v>
      </x:c>
      <x:c r="E38" s="16" t="n">
        <x:v>12</x:v>
      </x:c>
      <x:c r="F38" s="18" t="str">
        <x:v>20–50</x:v>
      </x:c>
      <x:c r="G38" s="14" t="str">
        <x:v>PBE/pcJ-3 或 PBE0/pcJ-2；待基准</x:v>
      </x:c>
      <x:c r="H38" s="25" t="n">
        <x:v>0</x:v>
      </x:c>
      <x:c r="I38" s="14" t="str">
        <x:v>按来源明确的连接结构</x:v>
      </x:c>
      <x:c r="J38" s="14" t="str">
        <x:v>羰基与亚砜氧竞争结合，中心环折叠需要检查。 </x:v>
      </x:c>
    </x:row>
    <x:row r="39" ht="92" customHeight="1">
      <x:c r="A39" s="3" t="str">
        <x:v>F2_S28_source__DMSO</x:v>
      </x:c>
      <x:c r="B39" s="3" t="str">
        <x:v>F2_S28</x:v>
      </x:c>
      <x:c r="C39" s="13" t="n">
        <x:v>2</x:v>
      </x:c>
      <x:c r="D39" s="13" t="n">
        <x:v>1</x:v>
      </x:c>
      <x:c r="E39" s="13" t="n">
        <x:v>32</x:v>
      </x:c>
      <x:c r="F39" s="11" t="str">
        <x:v>70–150</x:v>
      </x:c>
      <x:c r="G39" s="3" t="str">
        <x:v>PBE/pcJ-3 或 PBE0/pcJ-2；待基准</x:v>
      </x:c>
      <x:c r="H39" s="24" t="n">
        <x:v>0</x:v>
      </x:c>
      <x:c r="I39" s="3" t="str">
        <x:v>按来源明确的连接结构</x:v>
      </x:c>
      <x:c r="J39" s="3" t="str">
        <x:v>11个可旋转键、多个NH/OH及羧酸；采用高采样预算，但须检查两性离子/质子化状态。 需复核样品盐型、质子化状态或互变异构体。</x:v>
      </x:c>
    </x:row>
    <x:row r="40" ht="92" customHeight="1">
      <x:c r="A40" s="14" t="str">
        <x:v>F3_N01_source__DMSO</x:v>
      </x:c>
      <x:c r="B40" s="14" t="str">
        <x:v>F3_N01</x:v>
      </x:c>
      <x:c r="C40" s="16" t="n">
        <x:v>2</x:v>
      </x:c>
      <x:c r="D40" s="16" t="n">
        <x:v>1</x:v>
      </x:c>
      <x:c r="E40" s="16" t="n">
        <x:v>8</x:v>
      </x:c>
      <x:c r="F40" s="18" t="str">
        <x:v>12–30</x:v>
      </x:c>
      <x:c r="G40" s="14" t="str">
        <x:v>PBE/pcJ-3 或 PBE0/pcJ-2；待基准</x:v>
      </x:c>
      <x:c r="H40" s="25" t="n">
        <x:v>0</x:v>
      </x:c>
      <x:c r="I40" s="14" t="str">
        <x:v>按来源明确的连接结构</x:v>
      </x:c>
      <x:c r="J40" s="14" t="str">
        <x:v>刚性单环N-氧化物，主要采样N-氧端的局部水/溶剂排列。 </x:v>
      </x:c>
    </x:row>
    <x:row r="41" ht="92" customHeight="1">
      <x:c r="A41" s="3" t="str">
        <x:v>F3_N06_source__DMSO</x:v>
      </x:c>
      <x:c r="B41" s="3" t="str">
        <x:v>F3_N06</x:v>
      </x:c>
      <x:c r="C41" s="13" t="n">
        <x:v>2</x:v>
      </x:c>
      <x:c r="D41" s="13" t="n">
        <x:v>1</x:v>
      </x:c>
      <x:c r="E41" s="13" t="n">
        <x:v>8</x:v>
      </x:c>
      <x:c r="F41" s="11" t="str">
        <x:v>12–30</x:v>
      </x:c>
      <x:c r="G41" s="3" t="str">
        <x:v>PBE/pcJ-3 或 PBE0/pcJ-2；待基准</x:v>
      </x:c>
      <x:c r="H41" s="24" t="n">
        <x:v>0</x:v>
      </x:c>
      <x:c r="I41" s="3" t="str">
        <x:v>按来源明确的连接结构</x:v>
      </x:c>
      <x:c r="J41" s="3" t="str">
        <x:v>刚性稠合双环、一个主要N-氧受体区域。 </x:v>
      </x:c>
    </x:row>
    <x:row r="42" ht="92" customHeight="1">
      <x:c r="A42" s="14" t="str">
        <x:v>F3_N14_source__DMSO</x:v>
      </x:c>
      <x:c r="B42" s="14" t="str">
        <x:v>F3_N14</x:v>
      </x:c>
      <x:c r="C42" s="16" t="n">
        <x:v>2</x:v>
      </x:c>
      <x:c r="D42" s="16" t="n">
        <x:v>1</x:v>
      </x:c>
      <x:c r="E42" s="16" t="n">
        <x:v>12</x:v>
      </x:c>
      <x:c r="F42" s="18" t="str">
        <x:v>20–50</x:v>
      </x:c>
      <x:c r="G42" s="14" t="str">
        <x:v>PBE/pcJ-3 或 PBE0/pcJ-2；待基准</x:v>
      </x:c>
      <x:c r="H42" s="25" t="n">
        <x:v>0</x:v>
      </x:c>
      <x:c r="I42" s="14" t="str">
        <x:v>按来源明确的连接结构</x:v>
      </x:c>
      <x:c r="J42" s="14" t="str">
        <x:v>N-氧与另一个环氮提供竞争受体区域。 </x:v>
      </x:c>
    </x:row>
    <x:row r="43" ht="92" customHeight="1">
      <x:c r="A43" s="3" t="str">
        <x:v>F3_N15_source__DMSO</x:v>
      </x:c>
      <x:c r="B43" s="3" t="str">
        <x:v>F3_N15</x:v>
      </x:c>
      <x:c r="C43" s="13" t="n">
        <x:v>2</x:v>
      </x:c>
      <x:c r="D43" s="13" t="n">
        <x:v>1</x:v>
      </x:c>
      <x:c r="E43" s="13" t="n">
        <x:v>8</x:v>
      </x:c>
      <x:c r="F43" s="11" t="str">
        <x:v>12–30</x:v>
      </x:c>
      <x:c r="G43" s="3" t="str">
        <x:v>PBE/pcJ-3 或 PBE0/pcJ-2；待基准</x:v>
      </x:c>
      <x:c r="H43" s="24" t="n">
        <x:v>0</x:v>
      </x:c>
      <x:c r="I43" s="3" t="str">
        <x:v>按来源明确的连接结构</x:v>
      </x:c>
      <x:c r="J43" s="3" t="str">
        <x:v>溴代单环基本刚性；结构采样不由Br混合J基组设置替代。 </x:v>
      </x:c>
    </x:row>
    <x:row r="44" ht="92" customHeight="1">
      <x:c r="A44" s="14" t="str">
        <x:v>F3_N16_source__DMSO</x:v>
      </x:c>
      <x:c r="B44" s="14" t="str">
        <x:v>F3_N16</x:v>
      </x:c>
      <x:c r="C44" s="16" t="n">
        <x:v>2</x:v>
      </x:c>
      <x:c r="D44" s="16" t="n">
        <x:v>1</x:v>
      </x:c>
      <x:c r="E44" s="16" t="n">
        <x:v>16</x:v>
      </x:c>
      <x:c r="F44" s="18" t="str">
        <x:v>30–70</x:v>
      </x:c>
      <x:c r="G44" s="14" t="str">
        <x:v>PBE/pcJ-3 或 PBE0/pcJ-2；待基准</x:v>
      </x:c>
      <x:c r="H44" s="25" t="n">
        <x:v>0</x:v>
      </x:c>
      <x:c r="I44" s="14" t="str">
        <x:v>按来源明确的连接结构</x:v>
      </x:c>
      <x:c r="J44" s="14" t="str">
        <x:v>羟甲基可向N-氧形成内氢键，也可被DMSO/水竞争打断。 </x:v>
      </x:c>
    </x:row>
    <x:row r="45" ht="92" customHeight="1">
      <x:c r="A45" s="3" t="str">
        <x:v>F3_N17_source__DMSO</x:v>
      </x:c>
      <x:c r="B45" s="3" t="str">
        <x:v>F3_N17</x:v>
      </x:c>
      <x:c r="C45" s="13" t="n">
        <x:v>2</x:v>
      </x:c>
      <x:c r="D45" s="13" t="n">
        <x:v>1</x:v>
      </x:c>
      <x:c r="E45" s="13" t="n">
        <x:v>12</x:v>
      </x:c>
      <x:c r="F45" s="11" t="str">
        <x:v>20–50</x:v>
      </x:c>
      <x:c r="G45" s="3" t="str">
        <x:v>PBE/pcJ-3 或 PBE0/pcJ-2；待基准</x:v>
      </x:c>
      <x:c r="H45" s="24" t="n">
        <x:v>0</x:v>
      </x:c>
      <x:c r="I45" s="3" t="str">
        <x:v>按来源明确的连接结构</x:v>
      </x:c>
      <x:c r="J45" s="3" t="str">
        <x:v>稠环虽刚性，但N-氧与另一环氮的溶剂模式不同。 </x:v>
      </x:c>
    </x:row>
    <x:row r="46" ht="92" customHeight="1">
      <x:c r="A46" s="14" t="str">
        <x:v>F3_N18_source__DMSO</x:v>
      </x:c>
      <x:c r="B46" s="14" t="str">
        <x:v>F3_N18</x:v>
      </x:c>
      <x:c r="C46" s="16" t="n">
        <x:v>2</x:v>
      </x:c>
      <x:c r="D46" s="16" t="n">
        <x:v>1</x:v>
      </x:c>
      <x:c r="E46" s="16" t="n">
        <x:v>12</x:v>
      </x:c>
      <x:c r="F46" s="18" t="str">
        <x:v>20–50</x:v>
      </x:c>
      <x:c r="G46" s="14" t="str">
        <x:v>PBE/pcJ-3 或 PBE0/pcJ-2；待基准</x:v>
      </x:c>
      <x:c r="H46" s="25" t="n">
        <x:v>0</x:v>
      </x:c>
      <x:c r="I46" s="14" t="str">
        <x:v>按来源明确的连接结构</x:v>
      </x:c>
      <x:c r="J46" s="14" t="str">
        <x:v>N-氧与含硫杂环的不同溶剂接近方向需要覆盖。 </x:v>
      </x:c>
    </x:row>
    <x:row r="47" ht="92" customHeight="1">
      <x:c r="A47" s="3" t="str">
        <x:v>F3_N25_source__DMSO</x:v>
      </x:c>
      <x:c r="B47" s="3" t="str">
        <x:v>F3_N25</x:v>
      </x:c>
      <x:c r="C47" s="13" t="n">
        <x:v>2</x:v>
      </x:c>
      <x:c r="D47" s="13" t="n">
        <x:v>1</x:v>
      </x:c>
      <x:c r="E47" s="13" t="n">
        <x:v>12</x:v>
      </x:c>
      <x:c r="F47" s="11" t="str">
        <x:v>20–50</x:v>
      </x:c>
      <x:c r="G47" s="3" t="str">
        <x:v>PBE/pcJ-3 或 PBE0/pcJ-2；待基准</x:v>
      </x:c>
      <x:c r="H47" s="24" t="n">
        <x:v>0</x:v>
      </x:c>
      <x:c r="I47" s="3" t="str">
        <x:v>按来源明确的连接结构</x:v>
      </x:c>
      <x:c r="J47" s="3" t="str">
        <x:v>腈端和N-氧端的溶剂定位不同。 </x:v>
      </x:c>
    </x:row>
    <x:row r="48" ht="92" customHeight="1">
      <x:c r="A48" s="14" t="str">
        <x:v>F3_N26_source__DMSO</x:v>
      </x:c>
      <x:c r="B48" s="14" t="str">
        <x:v>F3_N26</x:v>
      </x:c>
      <x:c r="C48" s="16" t="n">
        <x:v>2</x:v>
      </x:c>
      <x:c r="D48" s="16" t="n">
        <x:v>1</x:v>
      </x:c>
      <x:c r="E48" s="16" t="n">
        <x:v>12</x:v>
      </x:c>
      <x:c r="F48" s="18" t="str">
        <x:v>20–50</x:v>
      </x:c>
      <x:c r="G48" s="14" t="str">
        <x:v>PBE/pcJ-3 或 PBE0/pcJ-2；待基准</x:v>
      </x:c>
      <x:c r="H48" s="25" t="n">
        <x:v>0</x:v>
      </x:c>
      <x:c r="I48" s="14" t="str">
        <x:v>按来源明确的连接结构</x:v>
      </x:c>
      <x:c r="J48" s="14" t="str">
        <x:v>哌啶环椅式及N-氧取向不能用0个可旋转键概括。 </x:v>
      </x:c>
    </x:row>
    <x:row r="49" ht="92" customHeight="1">
      <x:c r="A49" s="3" t="str">
        <x:v>F3_N28_source__DMSO</x:v>
      </x:c>
      <x:c r="B49" s="3" t="str">
        <x:v>F3_N28</x:v>
      </x:c>
      <x:c r="C49" s="13" t="n">
        <x:v>2</x:v>
      </x:c>
      <x:c r="D49" s="13" t="n">
        <x:v>1</x:v>
      </x:c>
      <x:c r="E49" s="13" t="n">
        <x:v>12</x:v>
      </x:c>
      <x:c r="F49" s="11" t="str">
        <x:v>20–50</x:v>
      </x:c>
      <x:c r="G49" s="3" t="str">
        <x:v>PBE/pcJ-3 或 PBE0/pcJ-2；待基准</x:v>
      </x:c>
      <x:c r="H49" s="24" t="n">
        <x:v>0</x:v>
      </x:c>
      <x:c r="I49" s="3" t="str">
        <x:v>按来源明确的连接结构</x:v>
      </x:c>
      <x:c r="J49" s="3" t="str">
        <x:v>环己基椅式及环外胺氧取向需要联合采样。 </x:v>
      </x:c>
    </x:row>
    <x:row r="50" ht="92" customHeight="1">
      <x:c r="A50" s="14" t="str">
        <x:v>F3_N09_source__DMSO</x:v>
      </x:c>
      <x:c r="B50" s="14" t="str">
        <x:v>F3_N09</x:v>
      </x:c>
      <x:c r="C50" s="16" t="n">
        <x:v>2</x:v>
      </x:c>
      <x:c r="D50" s="16" t="n">
        <x:v>1</x:v>
      </x:c>
      <x:c r="E50" s="16" t="n">
        <x:v>12</x:v>
      </x:c>
      <x:c r="F50" s="18" t="str">
        <x:v>20–50</x:v>
      </x:c>
      <x:c r="G50" s="14" t="str">
        <x:v>PBE/pcJ-3 或 PBE0/pcJ-2；待基准</x:v>
      </x:c>
      <x:c r="H50" s="25" t="n">
        <x:v>0</x:v>
      </x:c>
      <x:c r="I50" s="14" t="str">
        <x:v>按来源明确的连接结构</x:v>
      </x:c>
      <x:c r="J50" s="14" t="str">
        <x:v>联吡啶环间扭转和两个不同受体位点。 </x:v>
      </x:c>
    </x:row>
    <x:row r="51" ht="92" customHeight="1">
      <x:c r="A51" s="3" t="str">
        <x:v>F3_N10_source__DMSO</x:v>
      </x:c>
      <x:c r="B51" s="3" t="str">
        <x:v>F3_N10</x:v>
      </x:c>
      <x:c r="C51" s="13" t="n">
        <x:v>2</x:v>
      </x:c>
      <x:c r="D51" s="13" t="n">
        <x:v>1</x:v>
      </x:c>
      <x:c r="E51" s="13" t="n">
        <x:v>12</x:v>
      </x:c>
      <x:c r="F51" s="11" t="str">
        <x:v>20–50</x:v>
      </x:c>
      <x:c r="G51" s="3" t="str">
        <x:v>PBE/pcJ-3 或 PBE0/pcJ-2；待基准</x:v>
      </x:c>
      <x:c r="H51" s="24" t="n">
        <x:v>0</x:v>
      </x:c>
      <x:c r="I51" s="3" t="str">
        <x:v>按来源明确的连接结构</x:v>
      </x:c>
      <x:c r="J51" s="3" t="str">
        <x:v>刚性大稠环但存在N-氧/未氧化N两个结合区域。 </x:v>
      </x:c>
    </x:row>
    <x:row r="52" ht="92" customHeight="1">
      <x:c r="A52" s="14" t="str">
        <x:v>F3_N19_source__DMSO</x:v>
      </x:c>
      <x:c r="B52" s="14" t="str">
        <x:v>F3_N19</x:v>
      </x:c>
      <x:c r="C52" s="16" t="n">
        <x:v>2</x:v>
      </x:c>
      <x:c r="D52" s="16" t="n">
        <x:v>1</x:v>
      </x:c>
      <x:c r="E52" s="16" t="n">
        <x:v>8</x:v>
      </x:c>
      <x:c r="F52" s="18" t="str">
        <x:v>12–30</x:v>
      </x:c>
      <x:c r="G52" s="14" t="str">
        <x:v>PBE/pcJ-3 或 PBE0/pcJ-2；待基准</x:v>
      </x:c>
      <x:c r="H52" s="25" t="n">
        <x:v>0</x:v>
      </x:c>
      <x:c r="I52" s="14" t="str">
        <x:v>按来源明确的连接结构</x:v>
      </x:c>
      <x:c r="J52" s="14" t="str">
        <x:v>刚性稠环、一个主要N-氧受体；重点为局部溶剂取向。 </x:v>
      </x:c>
    </x:row>
    <x:row r="53" ht="92" customHeight="1">
      <x:c r="A53" s="3" t="str">
        <x:v>F3_N29_source__DMSO</x:v>
      </x:c>
      <x:c r="B53" s="3" t="str">
        <x:v>F3_N29</x:v>
      </x:c>
      <x:c r="C53" s="13" t="n">
        <x:v>2</x:v>
      </x:c>
      <x:c r="D53" s="13" t="n">
        <x:v>1</x:v>
      </x:c>
      <x:c r="E53" s="13" t="n">
        <x:v>24</x:v>
      </x:c>
      <x:c r="F53" s="11" t="str">
        <x:v>50–110</x:v>
      </x:c>
      <x:c r="G53" s="3" t="str">
        <x:v>PBE/pcJ-3 或 PBE0/pcJ-2；待基准</x:v>
      </x:c>
      <x:c r="H53" s="24" t="n">
        <x:v>0</x:v>
      </x:c>
      <x:c r="I53" s="3" t="str">
        <x:v>按来源明确的连接结构</x:v>
      </x:c>
      <x:c r="J53" s="3" t="str">
        <x:v>两个芳环间扭转加三个N-氧中心，溶剂排列组合较多。 </x:v>
      </x:c>
    </x:row>
    <x:row r="54" ht="92" customHeight="1">
      <x:c r="A54" s="14" t="str">
        <x:v>F3_N30_source__DMSO</x:v>
      </x:c>
      <x:c r="B54" s="14" t="str">
        <x:v>F3_N30</x:v>
      </x:c>
      <x:c r="C54" s="16" t="n">
        <x:v>2</x:v>
      </x:c>
      <x:c r="D54" s="16" t="n">
        <x:v>1</x:v>
      </x:c>
      <x:c r="E54" s="16" t="n">
        <x:v>16</x:v>
      </x:c>
      <x:c r="F54" s="18" t="str">
        <x:v>30–70</x:v>
      </x:c>
      <x:c r="G54" s="14" t="str">
        <x:v>PBE/pcJ-3 或 PBE0/pcJ-2；待基准</x:v>
      </x:c>
      <x:c r="H54" s="25" t="n">
        <x:v>0</x:v>
      </x:c>
      <x:c r="I54" s="14" t="str">
        <x:v>按来源明确的连接结构</x:v>
      </x:c>
      <x:c r="J54" s="14" t="str">
        <x:v>羧酸、N-氧及环氮竞争氢键；酸/碱及互变异构状态需实验核实。 需复核样品盐型、质子化状态或互变异构体。</x:v>
      </x:c>
    </x:row>
    <x:row r="55" ht="92" customHeight="1">
      <x:c r="A55" s="3" t="str">
        <x:v>F3_N32_source__DMSO</x:v>
      </x:c>
      <x:c r="B55" s="3" t="str">
        <x:v>F3_N32</x:v>
      </x:c>
      <x:c r="C55" s="13" t="n">
        <x:v>2</x:v>
      </x:c>
      <x:c r="D55" s="13" t="n">
        <x:v>1</x:v>
      </x:c>
      <x:c r="E55" s="13" t="n">
        <x:v>16</x:v>
      </x:c>
      <x:c r="F55" s="11" t="str">
        <x:v>30–70</x:v>
      </x:c>
      <x:c r="G55" s="3" t="str">
        <x:v>PBE/pcJ-3 或 PBE0/pcJ-2；待基准</x:v>
      </x:c>
      <x:c r="H55" s="24" t="n">
        <x:v>0</x:v>
      </x:c>
      <x:c r="I55" s="3" t="str">
        <x:v>按来源明确的连接结构</x:v>
      </x:c>
      <x:c r="J55" s="3" t="str">
        <x:v>多环生物碱虽无普通可旋转键，仍需考虑饱和环形变及羰基/N-氧的溶剂分配。 </x:v>
      </x:c>
    </x:row>
    <x:row r="56" ht="92" customHeight="1">
      <x:c r="A56" s="14" t="str">
        <x:v>F3_N33_outward_NO__DMSO</x:v>
      </x:c>
      <x:c r="B56" s="14" t="str">
        <x:v>F3_N33</x:v>
      </x:c>
      <x:c r="C56" s="16" t="n">
        <x:v>2</x:v>
      </x:c>
      <x:c r="D56" s="16" t="n">
        <x:v>1</x:v>
      </x:c>
      <x:c r="E56" s="16" t="n">
        <x:v>24</x:v>
      </x:c>
      <x:c r="F56" s="18" t="str">
        <x:v>50–110</x:v>
      </x:c>
      <x:c r="G56" s="14" t="str">
        <x:v>PBE/pcJ-3 或 PBE0/pcJ-2；待基准</x:v>
      </x:c>
      <x:c r="H56" s="25" t="n">
        <x:v>0</x:v>
      </x:c>
      <x:c r="I56" s="14" t="str">
        <x:v>几何筛选分支；非新增实验构型</x:v>
      </x:c>
      <x:c r="J56" s="14" t="str">
        <x:v>柔性生物碱、醇、杂芳环与N-氧共存，具有多种竞争氢键/折叠。 </x:v>
      </x:c>
    </x:row>
    <x:row r="57" ht="92" customHeight="1">
      <x:c r="A57" s="3" t="str">
        <x:v>F3_B01_source__DMSO</x:v>
      </x:c>
      <x:c r="B57" s="3" t="str">
        <x:v>F3_B01</x:v>
      </x:c>
      <x:c r="C57" s="13" t="n">
        <x:v>2</x:v>
      </x:c>
      <x:c r="D57" s="13" t="n">
        <x:v>1</x:v>
      </x:c>
      <x:c r="E57" s="13" t="n">
        <x:v>8</x:v>
      </x:c>
      <x:c r="F57" s="11" t="str">
        <x:v>12–30</x:v>
      </x:c>
      <x:c r="G57" s="3" t="str">
        <x:v>PBE/pcJ-3 或 PBE0/pcJ-2；待基准</x:v>
      </x:c>
      <x:c r="H57" s="24" t="n">
        <x:v>0</x:v>
      </x:c>
      <x:c r="I57" s="3" t="str">
        <x:v>按来源明确的连接结构</x:v>
      </x:c>
      <x:c r="J57" s="3" t="str">
        <x:v>小五元内酯；保留环起伏和两个氧周围溶剂取向。 </x:v>
      </x:c>
    </x:row>
    <x:row r="58" ht="92" customHeight="1">
      <x:c r="A58" s="14" t="str">
        <x:v>F3_B03_source__DMSO</x:v>
      </x:c>
      <x:c r="B58" s="14" t="str">
        <x:v>F3_B03</x:v>
      </x:c>
      <x:c r="C58" s="16" t="n">
        <x:v>2</x:v>
      </x:c>
      <x:c r="D58" s="16" t="n">
        <x:v>1</x:v>
      </x:c>
      <x:c r="E58" s="16" t="n">
        <x:v>16</x:v>
      </x:c>
      <x:c r="F58" s="18" t="str">
        <x:v>30–70</x:v>
      </x:c>
      <x:c r="G58" s="14" t="str">
        <x:v>PBE/pcJ-3 或 PBE0/pcJ-2；待基准</x:v>
      </x:c>
      <x:c r="H58" s="25" t="n">
        <x:v>0</x:v>
      </x:c>
      <x:c r="I58" s="14" t="str">
        <x:v>按来源明确的连接结构</x:v>
      </x:c>
      <x:c r="J58" s="14" t="str">
        <x:v>七元内酯存在多种环构象；0个RDKit可旋转键不代表刚性。 </x:v>
      </x:c>
    </x:row>
    <x:row r="59" ht="92" customHeight="1">
      <x:c r="A59" s="3" t="str">
        <x:v>F3_B05_rep_R__DMSO</x:v>
      </x:c>
      <x:c r="B59" s="3" t="str">
        <x:v>F3_B05</x:v>
      </x:c>
      <x:c r="C59" s="13" t="n">
        <x:v>2</x:v>
      </x:c>
      <x:c r="D59" s="13" t="n">
        <x:v>1</x:v>
      </x:c>
      <x:c r="E59" s="13" t="n">
        <x:v>16</x:v>
      </x:c>
      <x:c r="F59" s="11" t="str">
        <x:v>30–70</x:v>
      </x:c>
      <x:c r="G59" s="3" t="str">
        <x:v>PBE/pcJ-3 或 PBE0/pcJ-2；待基准</x:v>
      </x:c>
      <x:c r="H59" s="24" t="n">
        <x:v>0</x:v>
      </x:c>
      <x:c r="I59" s="3" t="str">
        <x:v>建模代表构型；非实验R构型指认</x:v>
      </x:c>
      <x:c r="J59" s="3" t="str">
        <x:v>取代七元内酯的环翻转、位阻和溶剂取向均需覆盖。 </x:v>
      </x:c>
    </x:row>
    <x:row r="60" ht="92" customHeight="1">
      <x:c r="A60" s="14" t="str">
        <x:v>F3_B06_cage_rep__DMSO</x:v>
      </x:c>
      <x:c r="B60" s="14" t="str">
        <x:v>F3_B06</x:v>
      </x:c>
      <x:c r="C60" s="16" t="n">
        <x:v>2</x:v>
      </x:c>
      <x:c r="D60" s="16" t="n">
        <x:v>1</x:v>
      </x:c>
      <x:c r="E60" s="16" t="n">
        <x:v>12</x:v>
      </x:c>
      <x:c r="F60" s="18" t="str">
        <x:v>20–50</x:v>
      </x:c>
      <x:c r="G60" s="14" t="str">
        <x:v>PBE/pcJ-3 或 PBE0/pcJ-2；待基准</x:v>
      </x:c>
      <x:c r="H60" s="25" t="n">
        <x:v>0</x:v>
      </x:c>
      <x:c r="I60" s="14" t="str">
        <x:v>几何筛选分支；非新增实验构型</x:v>
      </x:c>
      <x:c r="J60" s="14" t="str">
        <x:v>笼状内酯总体刚性，但扩环桥连骨架与两个氧的溶剂模式需检查。 </x:v>
      </x:c>
    </x:row>
    <x:row r="61" ht="92" customHeight="1">
      <x:c r="A61" s="3" t="str">
        <x:v>F3_B08_source__DMSO</x:v>
      </x:c>
      <x:c r="B61" s="3" t="str">
        <x:v>F3_B08</x:v>
      </x:c>
      <x:c r="C61" s="13" t="n">
        <x:v>2</x:v>
      </x:c>
      <x:c r="D61" s="13" t="n">
        <x:v>1</x:v>
      </x:c>
      <x:c r="E61" s="13" t="n">
        <x:v>12</x:v>
      </x:c>
      <x:c r="F61" s="11" t="str">
        <x:v>20–50</x:v>
      </x:c>
      <x:c r="G61" s="3" t="str">
        <x:v>PBE/pcJ-3 或 PBE0/pcJ-2；待基准</x:v>
      </x:c>
      <x:c r="H61" s="24" t="n">
        <x:v>0</x:v>
      </x:c>
      <x:c r="I61" s="3" t="str">
        <x:v>按来源明确的连接结构</x:v>
      </x:c>
      <x:c r="J61" s="3" t="str">
        <x:v>芳氧酯/甲氧基扭转及三个氧受体位置不同。 </x:v>
      </x:c>
    </x:row>
    <x:row r="62" ht="92" customHeight="1">
      <x:c r="A62" s="14" t="str">
        <x:v>F3_B14_rep_R__DMSO</x:v>
      </x:c>
      <x:c r="B62" s="14" t="str">
        <x:v>F3_B14</x:v>
      </x:c>
      <x:c r="C62" s="16" t="n">
        <x:v>2</x:v>
      </x:c>
      <x:c r="D62" s="16" t="n">
        <x:v>1</x:v>
      </x:c>
      <x:c r="E62" s="16" t="n">
        <x:v>16</x:v>
      </x:c>
      <x:c r="F62" s="18" t="str">
        <x:v>30–70</x:v>
      </x:c>
      <x:c r="G62" s="14" t="str">
        <x:v>PBE/pcJ-3 或 PBE0/pcJ-2；待基准</x:v>
      </x:c>
      <x:c r="H62" s="25" t="n">
        <x:v>0</x:v>
      </x:c>
      <x:c r="I62" s="14" t="str">
        <x:v>建模代表构型；非实验R构型指认</x:v>
      </x:c>
      <x:c r="J62" s="14" t="str">
        <x:v>七元环和苯基相对取向增加构象数。 </x:v>
      </x:c>
    </x:row>
    <x:row r="63" ht="92" customHeight="1">
      <x:c r="A63" s="3" t="str">
        <x:v>F3_B15_source__DMSO</x:v>
      </x:c>
      <x:c r="B63" s="3" t="str">
        <x:v>F3_B15</x:v>
      </x:c>
      <x:c r="C63" s="13" t="n">
        <x:v>2</x:v>
      </x:c>
      <x:c r="D63" s="13" t="n">
        <x:v>1</x:v>
      </x:c>
      <x:c r="E63" s="13" t="n">
        <x:v>16</x:v>
      </x:c>
      <x:c r="F63" s="11" t="str">
        <x:v>30–70</x:v>
      </x:c>
      <x:c r="G63" s="3" t="str">
        <x:v>PBE/pcJ-3 或 PBE0/pcJ-2；待基准</x:v>
      </x:c>
      <x:c r="H63" s="24" t="n">
        <x:v>0</x:v>
      </x:c>
      <x:c r="I63" s="3" t="str">
        <x:v>按来源明确的连接结构</x:v>
      </x:c>
      <x:c r="J63" s="3" t="str">
        <x:v>多取代七元内酯的环形变及异丙基取向需采样。 </x:v>
      </x:c>
    </x:row>
    <x:row r="64" ht="92" customHeight="1">
      <x:c r="A64" s="14" t="str">
        <x:v>F3_B16_source__DMSO</x:v>
      </x:c>
      <x:c r="B64" s="14" t="str">
        <x:v>F3_B16</x:v>
      </x:c>
      <x:c r="C64" s="16" t="n">
        <x:v>2</x:v>
      </x:c>
      <x:c r="D64" s="16" t="n">
        <x:v>1</x:v>
      </x:c>
      <x:c r="E64" s="16" t="n">
        <x:v>16</x:v>
      </x:c>
      <x:c r="F64" s="18" t="str">
        <x:v>30–70</x:v>
      </x:c>
      <x:c r="G64" s="14" t="str">
        <x:v>PBE/pcJ-3 或 PBE0/pcJ-2；待基准</x:v>
      </x:c>
      <x:c r="H64" s="25" t="n">
        <x:v>0</x:v>
      </x:c>
      <x:c r="I64" s="14" t="str">
        <x:v>按来源明确的连接结构</x:v>
      </x:c>
      <x:c r="J64" s="14" t="str">
        <x:v>螺环、七元内酯及四个氧提供多种环/溶剂组合。 </x:v>
      </x:c>
    </x:row>
    <x:row r="65" ht="92" customHeight="1">
      <x:c r="A65" s="3" t="str">
        <x:v>F3_B18_source_rel_rep__DMSO</x:v>
      </x:c>
      <x:c r="B65" s="3" t="str">
        <x:v>F3_B18</x:v>
      </x:c>
      <x:c r="C65" s="13" t="n">
        <x:v>2</x:v>
      </x:c>
      <x:c r="D65" s="13" t="n">
        <x:v>1</x:v>
      </x:c>
      <x:c r="E65" s="13" t="n">
        <x:v>12</x:v>
      </x:c>
      <x:c r="F65" s="11" t="str">
        <x:v>20–50</x:v>
      </x:c>
      <x:c r="G65" s="3" t="str">
        <x:v>PBE/pcJ-3 或 PBE0/pcJ-2；待基准</x:v>
      </x:c>
      <x:c r="H65" s="24" t="n">
        <x:v>0</x:v>
      </x:c>
      <x:c r="I65" s="3" t="str">
        <x:v>来源相对立体构型；非绝对构型指认</x:v>
      </x:c>
      <x:c r="J65" s="3" t="str">
        <x:v>桥环相对受限，但内酯结合位点和桥环形变需要复核。 </x:v>
      </x:c>
    </x:row>
    <x:row r="66" ht="92" customHeight="1">
      <x:c r="A66" s="14" t="str">
        <x:v>F3_B20_source__DMSO</x:v>
      </x:c>
      <x:c r="B66" s="14" t="str">
        <x:v>F3_B20</x:v>
      </x:c>
      <x:c r="C66" s="16" t="n">
        <x:v>2</x:v>
      </x:c>
      <x:c r="D66" s="16" t="n">
        <x:v>1</x:v>
      </x:c>
      <x:c r="E66" s="16" t="n">
        <x:v>8</x:v>
      </x:c>
      <x:c r="F66" s="18" t="str">
        <x:v>12–30</x:v>
      </x:c>
      <x:c r="G66" s="14" t="str">
        <x:v>PBE/pcJ-3 或 PBE0/pcJ-2；待基准</x:v>
      </x:c>
      <x:c r="H66" s="25" t="n">
        <x:v>0</x:v>
      </x:c>
      <x:c r="I66" s="14" t="str">
        <x:v>按来源明确的连接结构</x:v>
      </x:c>
      <x:c r="J66" s="14" t="str">
        <x:v>芳环稠合五元内酯较刚性，主要是局部溶剂排列。 </x:v>
      </x:c>
    </x:row>
    <x:row r="67" ht="92" customHeight="1">
      <x:c r="A67" s="3" t="str">
        <x:v>F3_B21_source_rel_rep__DMSO</x:v>
      </x:c>
      <x:c r="B67" s="3" t="str">
        <x:v>F3_B21</x:v>
      </x:c>
      <x:c r="C67" s="13" t="n">
        <x:v>2</x:v>
      </x:c>
      <x:c r="D67" s="13" t="n">
        <x:v>1</x:v>
      </x:c>
      <x:c r="E67" s="13" t="n">
        <x:v>16</x:v>
      </x:c>
      <x:c r="F67" s="11" t="str">
        <x:v>30–70</x:v>
      </x:c>
      <x:c r="G67" s="3" t="str">
        <x:v>PBE/pcJ-3 或 PBE0/pcJ-2；待基准</x:v>
      </x:c>
      <x:c r="H67" s="24" t="n">
        <x:v>0</x:v>
      </x:c>
      <x:c r="I67" s="3" t="str">
        <x:v>来源相对立体构型；非绝对构型指认</x:v>
      </x:c>
      <x:c r="J67" s="3" t="str">
        <x:v>稠合环加OTBS的体积/扭转，需兼顾内酯端和硅醚端的溶剂位置。 </x:v>
      </x:c>
    </x:row>
    <x:row r="68" ht="92" customHeight="1">
      <x:c r="A68" s="14" t="str">
        <x:v>F4_D01_rep_R__DMSO</x:v>
      </x:c>
      <x:c r="B68" s="14" t="str">
        <x:v>F4_D01</x:v>
      </x:c>
      <x:c r="C68" s="16" t="n">
        <x:v>2</x:v>
      </x:c>
      <x:c r="D68" s="16" t="n">
        <x:v>1</x:v>
      </x:c>
      <x:c r="E68" s="16" t="n">
        <x:v>24</x:v>
      </x:c>
      <x:c r="F68" s="18" t="str">
        <x:v>50–110</x:v>
      </x:c>
      <x:c r="G68" s="14" t="str">
        <x:v>PBE / pcJ-3</x:v>
      </x:c>
      <x:c r="H68" s="25" t="n">
        <x:v>0</x:v>
      </x:c>
      <x:c r="I68" s="14" t="str">
        <x:v>建模代表构型；非实验R构型指认</x:v>
      </x:c>
      <x:c r="J68" s="14" t="str">
        <x:v>5个可旋转键、二苯甲基与酰胺/亚砜竞争氢键；药物高覆盖采样。 </x:v>
      </x:c>
    </x:row>
    <x:row r="69" ht="92" customHeight="1">
      <x:c r="A69" s="3" t="str">
        <x:v>F4_D02_rep_R__DMSO</x:v>
      </x:c>
      <x:c r="B69" s="3" t="str">
        <x:v>F4_D02</x:v>
      </x:c>
      <x:c r="C69" s="13" t="n">
        <x:v>2</x:v>
      </x:c>
      <x:c r="D69" s="13" t="n">
        <x:v>1</x:v>
      </x:c>
      <x:c r="E69" s="13" t="n">
        <x:v>24</x:v>
      </x:c>
      <x:c r="F69" s="11" t="str">
        <x:v>50–110</x:v>
      </x:c>
      <x:c r="G69" s="3" t="str">
        <x:v>PBE / pcJ-3</x:v>
      </x:c>
      <x:c r="H69" s="24" t="n">
        <x:v>0</x:v>
      </x:c>
      <x:c r="I69" s="3" t="str">
        <x:v>建模代表构型；非实验R构型指认</x:v>
      </x:c>
      <x:c r="J69" s="3" t="str">
        <x:v>丙基、氨基甲酸酯及两个NH；需覆盖侧链与多重氢键布局，并检查互变异构体。 需复核样品盐型、质子化状态或互变异构体。</x:v>
      </x:c>
    </x:row>
    <x:row r="70" ht="92" customHeight="1">
      <x:c r="A70" s="14" t="str">
        <x:v>F4_D03_rep_R__DMSO</x:v>
      </x:c>
      <x:c r="B70" s="14" t="str">
        <x:v>F4_D03</x:v>
      </x:c>
      <x:c r="C70" s="16" t="n">
        <x:v>2</x:v>
      </x:c>
      <x:c r="D70" s="16" t="n">
        <x:v>1</x:v>
      </x:c>
      <x:c r="E70" s="16" t="n">
        <x:v>32</x:v>
      </x:c>
      <x:c r="F70" s="18" t="str">
        <x:v>70–150</x:v>
      </x:c>
      <x:c r="G70" s="14" t="str">
        <x:v>PBE / pcJ-3</x:v>
      </x:c>
      <x:c r="H70" s="25" t="n">
        <x:v>0</x:v>
      </x:c>
      <x:c r="I70" s="14" t="str">
        <x:v>建模代表构型；非实验R构型指认</x:v>
      </x:c>
      <x:c r="J70" s="14" t="str">
        <x:v>两个杂环、多个甲氧基、NH及亚砜；多受体与柔性连接链采用增强预算。 需复核样品盐型、质子化状态或互变异构体。</x:v>
      </x:c>
    </x:row>
    <x:row r="71" ht="92" customHeight="1">
      <x:c r="A71" s="3" t="str">
        <x:v>F4_D04_rep_R__DMSO</x:v>
      </x:c>
      <x:c r="B71" s="3" t="str">
        <x:v>F4_D04</x:v>
      </x:c>
      <x:c r="C71" s="13" t="n">
        <x:v>2</x:v>
      </x:c>
      <x:c r="D71" s="13" t="n">
        <x:v>1</x:v>
      </x:c>
      <x:c r="E71" s="13" t="n">
        <x:v>32</x:v>
      </x:c>
      <x:c r="F71" s="11" t="str">
        <x:v>70–150</x:v>
      </x:c>
      <x:c r="G71" s="3" t="str">
        <x:v>PBE / pcJ-3</x:v>
      </x:c>
      <x:c r="H71" s="24" t="n">
        <x:v>0</x:v>
      </x:c>
      <x:c r="I71" s="3" t="str">
        <x:v>建模代表构型；非实验R构型指认</x:v>
      </x:c>
      <x:c r="J71" s="3" t="str">
        <x:v>杂环、柔性含氟醚链及NH/亚砜竞争氢键；同时需充分的含氟耦合构象覆盖。 需复核样品盐型、质子化状态或互变异构体。</x:v>
      </x:c>
    </x:row>
    <x:row r="72" ht="92" customHeight="1">
      <x:c r="A72" s="14" t="str">
        <x:v>F4_D05_rep_R__DMSO</x:v>
      </x:c>
      <x:c r="B72" s="14" t="str">
        <x:v>F4_D05</x:v>
      </x:c>
      <x:c r="C72" s="16" t="n">
        <x:v>2</x:v>
      </x:c>
      <x:c r="D72" s="16" t="n">
        <x:v>1</x:v>
      </x:c>
      <x:c r="E72" s="16" t="n">
        <x:v>24</x:v>
      </x:c>
      <x:c r="F72" s="18" t="str">
        <x:v>50–110</x:v>
      </x:c>
      <x:c r="G72" s="14" t="str">
        <x:v>PBE / pcJ-3</x:v>
      </x:c>
      <x:c r="H72" s="25" t="n">
        <x:v>0</x:v>
      </x:c>
      <x:c r="I72" s="14" t="str">
        <x:v>建模代表构型；非实验R构型指认</x:v>
      </x:c>
      <x:c r="J72" s="14" t="str">
        <x:v>羧酸、亚砜与芳基扭转组合；保留指定烯键几何，不混合不同几何异构体。 需复核样品盐型、质子化状态或互变异构体。</x:v>
      </x:c>
    </x:row>
    <x:row r="73" ht="92" customHeight="1">
      <x:c r="A73" s="3" t="str">
        <x:v>F4_D07_neutral__DMSO</x:v>
      </x:c>
      <x:c r="B73" s="3" t="str">
        <x:v>F4_D07</x:v>
      </x:c>
      <x:c r="C73" s="13" t="n">
        <x:v>2</x:v>
      </x:c>
      <x:c r="D73" s="13" t="n">
        <x:v>1</x:v>
      </x:c>
      <x:c r="E73" s="13" t="n">
        <x:v>24</x:v>
      </x:c>
      <x:c r="F73" s="11" t="str">
        <x:v>50–110</x:v>
      </x:c>
      <x:c r="G73" s="3" t="str">
        <x:v>PBE / pcJ-3</x:v>
      </x:c>
      <x:c r="H73" s="24" t="n">
        <x:v>0</x:v>
      </x:c>
      <x:c r="I73" s="3" t="str">
        <x:v>绘制的净中性N-氧化物参照</x:v>
      </x:c>
      <x:c r="J73" s="3" t="str">
        <x:v>三环柔性侧链N-氧化物；主模型暂为净中性形式，真实盐型/质子化与溶剂必须核实。 需复核样品盐型、质子化状态或互变异构体。 净中性DMSO模型暂定；HCl盐及CD₃OD分支未启用。</x:v>
      </x:c>
    </x:row>
    <x:row r="74" ht="92" customHeight="1">
      <x:c r="A74" s="14" t="str">
        <x:v>TMS_DMSO</x:v>
      </x:c>
      <x:c r="B74" s="14" t="str">
        <x:v>TMS</x:v>
      </x:c>
      <x:c r="C74" s="16" t="n">
        <x:v>2</x:v>
      </x:c>
      <x:c r="D74" s="16" t="n">
        <x:v>1</x:v>
      </x:c>
      <x:c r="E74" s="16" t="n">
        <x:v>8</x:v>
      </x:c>
      <x:c r="F74" s="18" t="str">
        <x:v>12–30</x:v>
      </x:c>
      <x:c r="G74" s="14" t="str">
        <x:v>TMS：不适用</x:v>
      </x:c>
      <x:c r="H74" s="25" t="n">
        <x:v>0</x:v>
      </x:c>
      <x:c r="I74" s="14" t="str">
        <x:v>同流程TMS参照</x:v>
      </x:c>
      <x:c r="J74" s="14" t="str">
        <x:v>TMS无强氢键位点，但必须以相同溶剂簇组成独立采样并独立加权；不用产物权重代替。 </x:v>
      </x:c>
    </x:row>
    <x:row r="75" ht="46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</x:row>
    <x:row r="76" ht="46" customHeight="1">
      <x:c r="A76" s="6" t="str">
        <x:v>产物与TMS：全部起点合计</x:v>
      </x:c>
      <x:c r="B76" s="6"/>
      <x:c r="C76" s="6"/>
      <x:c r="D76" s="6"/>
      <x:c r="E76" s="6" t="n">
        <x:f>SUM(E8:E74)</x:f>
        <x:v>1020</x:v>
      </x:c>
      <x:c r="F76" s="6"/>
      <x:c r="G76" s="6"/>
      <x:c r="H76" s="6"/>
      <x:c r="I76" s="6"/>
      <x:c r="J76" s="6"/>
    </x:row>
    <x:row r="77" ht="46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</x:row>
  </x:sheetData>
  <x:mergeCells>
    <x:mergeCell ref="A1:J1"/>
    <x:mergeCell ref="A2:J2"/>
    <x:mergeCell ref="A3:J3"/>
    <x:mergeCell ref="A4:J4"/>
    <x:mergeCell ref="A5:J5"/>
    <x:mergeCell ref="A76:D76"/>
  </x:mergeCells>
  <x:pageMargins left="0.7" right="0.7" top="0.75" bottom="0.75" header="0.3" footer="0.3"/>
  <x:tableParts count="1">
    <x:tablePart xmlns:r="http://schemas.openxmlformats.org/officeDocument/2006/relationships" r:id="Rb6f13e9110ff419a"/>
  </x:tableParts>
</x:worksheet>
</file>